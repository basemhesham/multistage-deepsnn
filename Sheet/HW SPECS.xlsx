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" sheetId="1" r:id="rId4"/>
  </sheets>
  <definedNames/>
  <calcPr/>
  <extLst>
    <ext uri="GoogleSheetsCustomDataVersion2">
      <go:sheetsCustomData xmlns:go="http://customooxmlschemas.google.com/" r:id="rId5" roundtripDataChecksum="GJrEZad0FlXUc6xHbfpF4htJ1asgZFLeV/dPd0rqsyg="/>
    </ext>
  </extLst>
</workbook>
</file>

<file path=xl/sharedStrings.xml><?xml version="1.0" encoding="utf-8"?>
<sst xmlns="http://schemas.openxmlformats.org/spreadsheetml/2006/main" count="637" uniqueCount="263">
  <si>
    <t>Number of Available DSPs:</t>
  </si>
  <si>
    <t>Number of DSPs Assigned For Multiplication:</t>
  </si>
  <si>
    <t>Number of DSPs Assigned For Addition:</t>
  </si>
  <si>
    <t>Number of DSPs per Multiplier:</t>
  </si>
  <si>
    <t>Number of DSPs per Adder:</t>
  </si>
  <si>
    <t>Number of Multipliers:</t>
  </si>
  <si>
    <t>Number of Adders:</t>
  </si>
  <si>
    <t>Stage_1</t>
  </si>
  <si>
    <t>Operation</t>
  </si>
  <si>
    <t>LHS</t>
  </si>
  <si>
    <t>Size</t>
  </si>
  <si>
    <t>RHS_1</t>
  </si>
  <si>
    <t>Size_1</t>
  </si>
  <si>
    <t>RHS_2</t>
  </si>
  <si>
    <t>Size_2</t>
  </si>
  <si>
    <t>Total Operations</t>
  </si>
  <si>
    <t>Cycles per Frame</t>
  </si>
  <si>
    <t>How to calculate the cycle and Total</t>
  </si>
  <si>
    <t>Cycles per Frame(ADD/2)</t>
  </si>
  <si>
    <t>Cycles per Frame(MULT/4)</t>
  </si>
  <si>
    <t>Parameterized Multiplication Cycles per Frame</t>
  </si>
  <si>
    <t>Parameterized Addition Cycles per Frame</t>
  </si>
  <si>
    <t>Cycles After LIF Optimization</t>
  </si>
  <si>
    <t>Cycles in terms of resource 
Adder      -&gt; A
Multiplier -&gt; M</t>
  </si>
  <si>
    <t>Adder Resources
 Allocated to Each Part
(Parallelism)</t>
  </si>
  <si>
    <t>Multiplier Resources
 Allocated to Each Part
(Parallelism)</t>
  </si>
  <si>
    <t>Automatic Total Cycles</t>
  </si>
  <si>
    <t>Critical path in terms of Adder
Note Multiplier  == 2 Adders</t>
  </si>
  <si>
    <t>Padding</t>
  </si>
  <si>
    <t>padding</t>
  </si>
  <si>
    <t>conv1_out_pad</t>
  </si>
  <si>
    <t>(260,260,32) x 19 
   bits</t>
  </si>
  <si>
    <t>input_img</t>
  </si>
  <si>
    <t>(256,256,1) x 19 
   bits</t>
  </si>
  <si>
    <t xml:space="preserve"> </t>
  </si>
  <si>
    <t>---</t>
  </si>
  <si>
    <t>No effect</t>
  </si>
  <si>
    <t>8 Adders</t>
  </si>
  <si>
    <t>Conv_1</t>
  </si>
  <si>
    <t>Dot Product (MAC)
 [Filters]</t>
  </si>
  <si>
    <t>conv1_out_dot</t>
  </si>
  <si>
    <t>(256,256,32) x 19 
   bits</t>
  </si>
  <si>
    <t xml:space="preserve">(260,260,1) x 19 bits
   </t>
  </si>
  <si>
    <t>Filters_0</t>
  </si>
  <si>
    <t>(5,5,1,32) x 19 bits</t>
  </si>
  <si>
    <t>256×256×32×5×5×1 
52,428,800   Multiplications per frame
+
256×256×32×5×5×1
52,428,800  Additions per frame</t>
  </si>
  <si>
    <t>117028 cycles  for mul
 37236 cycles for add</t>
  </si>
  <si>
    <t>52,428,800 / 448  = 117028 cycles for mul
52,428,800 / 1408 = 37236 cycles for add</t>
  </si>
  <si>
    <t>18619 for add</t>
  </si>
  <si>
    <t>29258 for mult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</si>
  <si>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Cycles = ⌈ (F * P^2 * S^2) / M ⌉ + 
              Cycles = ⌈ (F * P^2 * S^2) / A ⌉
</t>
    </r>
    <r>
      <rPr>
        <rFont val="Arial"/>
        <color theme="1"/>
        <sz val="20.0"/>
      </rPr>
      <t xml:space="preserve">
where
P = 256 = input size (P x P), 
F =  32 = number of output channels, 
S = 5 = filter size (S x S)</t>
    </r>
  </si>
  <si>
    <t>Addition
 [Biases]</t>
  </si>
  <si>
    <t>conv1_out_bias</t>
  </si>
  <si>
    <t>(256,256,32) x 19
   bits</t>
  </si>
  <si>
    <t xml:space="preserve">(256,256,32) x 19   bits
</t>
  </si>
  <si>
    <t>Biases_0</t>
  </si>
  <si>
    <t xml:space="preserve">32 x 19 bits
</t>
  </si>
  <si>
    <t>256×256×32 
 = 2097152 Additions per frame</t>
  </si>
  <si>
    <t>256x256x32/1408=1490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</si>
  <si>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256 = input size (P x P), 
F =  32 = number of output channels, </t>
    </r>
  </si>
  <si>
    <t>ReLU Activatioin
 [max(0, conv_out)]</t>
  </si>
  <si>
    <t>conv1_out</t>
  </si>
  <si>
    <t>(256,256,32) x 19
  bits</t>
  </si>
  <si>
    <t xml:space="preserve">(256,256,32) x 19
  bits
 ---------------------
</t>
  </si>
  <si>
    <t>0 (const)</t>
  </si>
  <si>
    <t>256x256x32
 =   max(0,x)</t>
  </si>
  <si>
    <t>Each output bit = input bit AND (~MSB).
Hardware cost = 1 NOT gate + N AND gates (for N-bit data).
Latency = 0 cycle (pure combinational logic).</t>
  </si>
  <si>
    <t>BN_1</t>
  </si>
  <si>
    <t>Scalar Multiplication
 [A]</t>
  </si>
  <si>
    <t>BN1_tmp</t>
  </si>
  <si>
    <t xml:space="preserve">(256,256,32) x 19
  bits
 ------------------
</t>
  </si>
  <si>
    <t>A_0</t>
  </si>
  <si>
    <t xml:space="preserve">32 x 19 bits
   bits
</t>
  </si>
  <si>
    <t>256x256x32
 =2,097,152   Mul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</si>
  <si>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M ⌉
</t>
    </r>
    <r>
      <rPr>
        <rFont val="Arial"/>
        <color theme="1"/>
        <sz val="20.0"/>
      </rPr>
      <t xml:space="preserve">
where
P = 256 = input size (P x P), 
F =  32 = number of output channels, </t>
    </r>
  </si>
  <si>
    <t>3 Adders</t>
  </si>
  <si>
    <t>Addition
 [B]</t>
  </si>
  <si>
    <t>BN1_out</t>
  </si>
  <si>
    <t xml:space="preserve">(256,256,32) x 19 
  bits
 ------------------
</t>
  </si>
  <si>
    <t>B_0</t>
  </si>
  <si>
    <t xml:space="preserve">32 x 19 bits
</t>
  </si>
  <si>
    <t>256 x256 x32
 =2,097,152   Additions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</si>
  <si>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256 = input size (P x P), 
F =  32 = number of output channels, </t>
    </r>
  </si>
  <si>
    <t>Pool_1</t>
  </si>
  <si>
    <t>Max2</t>
  </si>
  <si>
    <t>pool1_out</t>
  </si>
  <si>
    <t xml:space="preserve">(128,128,32) x 19
 </t>
  </si>
  <si>
    <t xml:space="preserve">(256,256,32) x 19 
  bits
 ---------------------
</t>
  </si>
  <si>
    <t>n/a</t>
  </si>
  <si>
    <r>
      <rPr>
        <rFont val="Arial"/>
        <color theme="1"/>
        <sz val="16.0"/>
      </rPr>
      <t xml:space="preserve">128×128×32 =   windows 
 x3 comp per window 
 =  1,572,864 comparisons
</t>
    </r>
    <r>
      <rPr>
        <rFont val="Arial"/>
        <color rgb="FFFF0000"/>
        <sz val="16.0"/>
      </rPr>
      <t>Note ( comparison -&gt; sub + Mux)</t>
    </r>
  </si>
  <si>
    <t xml:space="preserve"> 1,572,864 Sub. process / 1408 = 1118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</si>
  <si>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(3* F * P^2) / A ⌉ 
</t>
    </r>
    <r>
      <rPr>
        <rFont val="Arial"/>
        <color theme="1"/>
        <sz val="20.0"/>
      </rPr>
      <t xml:space="preserve">
where
P = 128 = output size (P x P), 
F =  32  = number of output channels, </t>
    </r>
  </si>
  <si>
    <t>2 Adders</t>
  </si>
  <si>
    <t>LIF_1</t>
  </si>
  <si>
    <t>Scalar Multiplication
 [Beta]</t>
  </si>
  <si>
    <t>prod1_out</t>
  </si>
  <si>
    <t>m1_out</t>
  </si>
  <si>
    <t>(128,128,32) x 19</t>
  </si>
  <si>
    <t>Beta</t>
  </si>
  <si>
    <r>
      <rPr>
        <rFont val="Arial"/>
        <color theme="1"/>
        <sz val="20.0"/>
      </rPr>
      <t>32 x 19 bits</t>
    </r>
    <r>
      <rPr>
        <rFont val="Arial"/>
        <color theme="1"/>
      </rPr>
      <t xml:space="preserve">
</t>
    </r>
  </si>
  <si>
    <t>128x128x32
 = 524,288  Mul</t>
  </si>
  <si>
    <t>5 Adders</t>
  </si>
  <si>
    <t>Addition
 [X_in]</t>
  </si>
  <si>
    <t>sum1_out</t>
  </si>
  <si>
    <t>128x128x32
 = 524,288  Add</t>
  </si>
  <si>
    <t>Subtraction [reset1_term]</t>
  </si>
  <si>
    <t>reset1_term</t>
  </si>
  <si>
    <t>128x128x32
 = 524,288  Sub</t>
  </si>
  <si>
    <t>Compare Against Threshold</t>
  </si>
  <si>
    <t>S1_out</t>
  </si>
  <si>
    <t>threshold_1</t>
  </si>
  <si>
    <t>32 x 19 bits</t>
  </si>
  <si>
    <t>128x128x32
 = 524,288  windows x1 comp per window = 524,288 comparisons</t>
  </si>
  <si>
    <t>Stage_2</t>
  </si>
  <si>
    <t>Total Operations per Frame</t>
  </si>
  <si>
    <t>Cycles</t>
  </si>
  <si>
    <t>How to calculate the cycle</t>
  </si>
  <si>
    <t>padding [1]</t>
  </si>
  <si>
    <t>conv2_out_pad</t>
  </si>
  <si>
    <t xml:space="preserve">(130,130,32) x 19 bits
</t>
  </si>
  <si>
    <t xml:space="preserve">(128,128,32) x 19
  </t>
  </si>
  <si>
    <t>9 Adders</t>
  </si>
  <si>
    <t>Conv_2</t>
  </si>
  <si>
    <t>conv2_out_dot</t>
  </si>
  <si>
    <t xml:space="preserve">(128,128,64) x 19 bits
   </t>
  </si>
  <si>
    <t xml:space="preserve">(130,130,32) x 19
 </t>
  </si>
  <si>
    <t xml:space="preserve">(3,3,32,64)  x 19 bits
</t>
  </si>
  <si>
    <t xml:space="preserve">128×128 x 64 ×3×3×32 
 =  301,989,888  Multiplications 
+
128×128 x 64 ×3×3×32 
 =  301,989,888  Additions </t>
  </si>
  <si>
    <t xml:space="preserve"> 674085 for mul
214482 for add</t>
  </si>
  <si>
    <t>Mul
301,989,888  / 448 = 674085 cycle
Add
301,989,888  / 1408 = 214482 cycle</t>
  </si>
  <si>
    <t>107241 for add</t>
  </si>
  <si>
    <t>168522 for mult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</si>
  <si>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Cycles = ⌈ (F * P^2 * S^2 * c) / A ⌉
</t>
    </r>
    <r>
      <rPr>
        <rFont val="Arial"/>
        <color theme="1"/>
        <sz val="20.0"/>
      </rPr>
      <t xml:space="preserve">
where
P = 128 = input size (P x P), 
F =  64 = number of output channels, 
S = 3 = filter size (S x S)
c = 32 = filter channels</t>
    </r>
  </si>
  <si>
    <t>conv2_out_bias</t>
  </si>
  <si>
    <t>(128,128,64) x 19 
   bits</t>
  </si>
  <si>
    <t xml:space="preserve">64 x 19 bits
</t>
  </si>
  <si>
    <t>128×128×64
 = 1,048,576  Additions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</si>
  <si>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128= input size (P x P), 
F =  64= number of output channels, 
</t>
    </r>
  </si>
  <si>
    <t>conv2_out</t>
  </si>
  <si>
    <t xml:space="preserve">(128,128,64) x 19 bits
  </t>
  </si>
  <si>
    <t>128X128X64
 =   max(0,x)</t>
  </si>
  <si>
    <t>BN_2</t>
  </si>
  <si>
    <t>BN2_tmp</t>
  </si>
  <si>
    <t>pool2_out</t>
  </si>
  <si>
    <t xml:space="preserve">(128,128,64) x 19
  bits
 ------------------
</t>
  </si>
  <si>
    <t xml:space="preserve">64 x 19 bits
   bits
</t>
  </si>
  <si>
    <t>128X128X64
 = 1,048,576   Mul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</si>
  <si>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M ⌉
</t>
    </r>
    <r>
      <rPr>
        <rFont val="Arial"/>
        <color theme="1"/>
        <sz val="20.0"/>
      </rPr>
      <t xml:space="preserve">
where
P = 128= input size (P x P), 
F =  64= number of output channels, 
</t>
    </r>
  </si>
  <si>
    <t>BN2_out</t>
  </si>
  <si>
    <t>(128,128,64) x 19
  bits</t>
  </si>
  <si>
    <t xml:space="preserve">64 x 19 bits
</t>
  </si>
  <si>
    <t>128 x128 x64
 = 1,048,576   Additions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</si>
  <si>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128= input size (P x P), 
F =  64= number of output channels, 
</t>
    </r>
  </si>
  <si>
    <t>Pool_2</t>
  </si>
  <si>
    <t xml:space="preserve">(64,64,64) x 19
 </t>
  </si>
  <si>
    <r>
      <rPr>
        <rFont val="Arial"/>
        <color theme="1"/>
        <sz val="16.0"/>
      </rPr>
      <t xml:space="preserve">64×64×64 =   windows 
 x3 comp per window 
 =  786,432 comparisons
</t>
    </r>
    <r>
      <rPr>
        <rFont val="Arial"/>
        <color rgb="FFFF0000"/>
        <sz val="16.0"/>
      </rPr>
      <t>Note ( comparison -&gt; sub + Mux)</t>
    </r>
  </si>
  <si>
    <t xml:space="preserve"> 786,432  Sub. process / 1408 = 559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</si>
  <si>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(3* F * P^2) / A ⌉ 
</t>
    </r>
    <r>
      <rPr>
        <rFont val="Arial"/>
        <color theme="1"/>
        <sz val="20.0"/>
      </rPr>
      <t xml:space="preserve">
where
P = 64 = output size (P x P), 
F =  64 = number of output channels, 
</t>
    </r>
  </si>
  <si>
    <t>LIF_2</t>
  </si>
  <si>
    <t>prod2_out</t>
  </si>
  <si>
    <t>(64,64,64) x 19</t>
  </si>
  <si>
    <t>m2_out</t>
  </si>
  <si>
    <t>64x 19 bits</t>
  </si>
  <si>
    <t>64x64x64
 =  262,144 Mul</t>
  </si>
  <si>
    <t>sum2_out</t>
  </si>
  <si>
    <t>64x64x64
 = 262,144  Add</t>
  </si>
  <si>
    <t>reset2_term</t>
  </si>
  <si>
    <t>64x64x64
 = 262,144  Sub</t>
  </si>
  <si>
    <t>S2_out</t>
  </si>
  <si>
    <t>threshold_2</t>
  </si>
  <si>
    <t>64x64x64
 = 262,144  windows x1 comp per window = 262,144 comparisons</t>
  </si>
  <si>
    <t>Stage_3</t>
  </si>
  <si>
    <t>conv3_out_pad</t>
  </si>
  <si>
    <t xml:space="preserve">(66,66,64) x 19 bits
</t>
  </si>
  <si>
    <t xml:space="preserve">(64,64,64) x 19  </t>
  </si>
  <si>
    <t>10 Adders</t>
  </si>
  <si>
    <t>Conv_3</t>
  </si>
  <si>
    <t>conv3_out_dot</t>
  </si>
  <si>
    <t xml:space="preserve">(64,64,128) x 19
 </t>
  </si>
  <si>
    <t xml:space="preserve">(3,3,64,128) x 19 bits
</t>
  </si>
  <si>
    <t xml:space="preserve">64×64×64×3×3x128
 = 301,989,888  Multiplications 
+
64×64×64×3×3x128
 = 301,989,888  Additions
</t>
  </si>
  <si>
    <t>301,989,888/ 448  = 674085 cycles for mul
301,989,888/ 1408 = 214482  cycles for add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</si>
  <si>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Cycles = ⌈ (F * P^2 * S^2 * c) / A ⌉
</t>
    </r>
    <r>
      <rPr>
        <rFont val="Arial"/>
        <color theme="1"/>
        <sz val="20.0"/>
      </rPr>
      <t xml:space="preserve">
where
P = 64 = input size (P x P), 
F =  128 = number of output channels, 
S = 3 = filter size (S x S)
c = 64 = filter channels</t>
    </r>
  </si>
  <si>
    <t>conv3_out_bias</t>
  </si>
  <si>
    <r>
      <rPr>
        <rFont val="Arial"/>
        <color theme="1"/>
        <sz val="16.0"/>
      </rPr>
      <t xml:space="preserve">128 x </t>
    </r>
    <r>
      <rPr>
        <rFont val="Arial"/>
        <color rgb="FF0070C0"/>
        <sz val="16.0"/>
      </rPr>
      <t>(Size per Element)</t>
    </r>
    <r>
      <rPr>
        <rFont val="Arial"/>
        <color theme="1"/>
        <sz val="16.0"/>
      </rPr>
      <t xml:space="preserve">
  bits
 (1x transfer)</t>
    </r>
  </si>
  <si>
    <t>64×64×128
 = 524,288  Additions</t>
  </si>
  <si>
    <t>524,288 /1408 = 373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</si>
  <si>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128= input size (P x P), 
F =  64= number of output channels, 
</t>
    </r>
  </si>
  <si>
    <t>conv3_out</t>
  </si>
  <si>
    <t>64X64X128
 =   max(0,x)</t>
  </si>
  <si>
    <t>BN_3</t>
  </si>
  <si>
    <t>BN3_tmp</t>
  </si>
  <si>
    <t xml:space="preserve">128 x 19 bits
   bits
</t>
  </si>
  <si>
    <t>64X64X128
 =  524,288  Mul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</si>
  <si>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M ⌉
</t>
    </r>
    <r>
      <rPr>
        <rFont val="Arial"/>
        <color theme="1"/>
        <sz val="20.0"/>
      </rPr>
      <t xml:space="preserve">
where
P = 64= input size (P x P), 
F = 128= number of output channels, 
</t>
    </r>
  </si>
  <si>
    <t>BN3_out</t>
  </si>
  <si>
    <t xml:space="preserve">128 x 19 bits
</t>
  </si>
  <si>
    <t>64X64X128
 = 524,288   Additions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</si>
  <si>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(F * P^2) / A ⌉
</t>
    </r>
    <r>
      <rPr>
        <rFont val="Arial"/>
        <color theme="1"/>
        <sz val="20.0"/>
      </rPr>
      <t xml:space="preserve">
where
P = 64= input size (P x P), 
F = 128= number of output channels, 
</t>
    </r>
  </si>
  <si>
    <t>Pool_3</t>
  </si>
  <si>
    <t>pool3_out</t>
  </si>
  <si>
    <t xml:space="preserve">(32,32,128) x 19
 </t>
  </si>
  <si>
    <r>
      <rPr>
        <rFont val="Arial"/>
        <color theme="1"/>
        <sz val="16.0"/>
      </rPr>
      <t xml:space="preserve">32×32×128 =   windows 
 x3 comp per window 
 = 393216  comparisons
</t>
    </r>
    <r>
      <rPr>
        <rFont val="Arial"/>
        <color rgb="FFFF0000"/>
        <sz val="16.0"/>
      </rPr>
      <t>Note ( comparison -&gt; sub + Mux)</t>
    </r>
  </si>
  <si>
    <t xml:space="preserve"> 131,072 Sub. process / 1408 = 94</t>
  </si>
  <si>
    <r>
      <rPr>
        <rFont val="Arial"/>
        <color theme="1"/>
        <sz val="20.0"/>
      </rPr>
      <t xml:space="preserve">
</t>
    </r>
    <r>
      <rPr>
        <rFont val="Arial"/>
        <b/>
        <color theme="1"/>
        <sz val="20.0"/>
      </rPr>
      <t xml:space="preserve">                Cycles = ⌈ (3* F * P^2) / A ⌉ 
</t>
    </r>
    <r>
      <rPr>
        <rFont val="Arial"/>
        <color theme="1"/>
        <sz val="20.0"/>
      </rPr>
      <t xml:space="preserve">
where
P = 32= output size (P x P), 
F = 128 = number of output channels, 
</t>
    </r>
  </si>
  <si>
    <t>LIF_3</t>
  </si>
  <si>
    <t>prod3_out</t>
  </si>
  <si>
    <t>(32,32,128) x 19</t>
  </si>
  <si>
    <t>m3_out</t>
  </si>
  <si>
    <r>
      <rPr>
        <rFont val="Arial"/>
        <color theme="1"/>
        <sz val="20.0"/>
      </rPr>
      <t>128x 19 bits</t>
    </r>
    <r>
      <rPr>
        <rFont val="Arial"/>
        <color theme="1"/>
      </rPr>
      <t xml:space="preserve">
</t>
    </r>
  </si>
  <si>
    <t>32×32×128
 = 131,072  Mul</t>
  </si>
  <si>
    <t>sum3_out</t>
  </si>
  <si>
    <t>32×32×128
 = 131,072  Add</t>
  </si>
  <si>
    <t>32×32×128
 = 131,072  Sub</t>
  </si>
  <si>
    <t>S3_out</t>
  </si>
  <si>
    <t>128x 19 bits</t>
  </si>
  <si>
    <t>32×32×128
 = 131,072  windows x1 comp per window = 131,072 comparisons</t>
  </si>
  <si>
    <t>Global Average Pooling Layer</t>
  </si>
  <si>
    <t>GAP</t>
  </si>
  <si>
    <t>Addition Then Shift right</t>
  </si>
  <si>
    <t>gap_out</t>
  </si>
  <si>
    <t xml:space="preserve">
 (32,32,128) x 19</t>
  </si>
  <si>
    <t xml:space="preserve"> (1,1,128) x 19 </t>
  </si>
  <si>
    <t xml:space="preserve">  (adder tree: 512+256+…+1) = 1023 addation per channel
Then
one Shift Right operation per channel
Total addation = 1023*128 = 130,944 addation </t>
  </si>
  <si>
    <t>- Each channel requires 1023 adders to sum 1024 elements in one
  cycle (adder tree: 512+256+…+1).
- Available adders = 1408 → only 1 channel can be processed per cycle
- Total channels = 128 → Total cycles required = 128 cycles.</t>
  </si>
  <si>
    <t>64
Now 2 channel can
 be processed per cycle</t>
  </si>
  <si>
    <r>
      <rPr>
        <rFont val="Arial"/>
        <color theme="1"/>
        <sz val="20.0"/>
      </rPr>
      <t xml:space="preserve"> If I have
</t>
    </r>
    <r>
      <rPr>
        <rFont val="Arial"/>
        <b/>
        <color theme="1"/>
        <sz val="20.0"/>
      </rPr>
      <t xml:space="preserve">                A = 43* k  where 1≤ k ≤ 128
</t>
    </r>
    <r>
      <rPr>
        <rFont val="Arial"/>
        <color theme="1"/>
        <sz val="20.0"/>
      </rPr>
      <t xml:space="preserve"> Then
</t>
    </r>
    <r>
      <rPr>
        <rFont val="Arial"/>
        <b/>
        <color theme="1"/>
        <sz val="20.0"/>
      </rPr>
      <t xml:space="preserve">                       Cycles = 128 / k
</t>
    </r>
    <r>
      <rPr>
        <rFont val="Arial"/>
        <color theme="1"/>
        <sz val="20.0"/>
      </rPr>
      <t xml:space="preserve">
  k = number of channels processed in parallel</t>
    </r>
  </si>
  <si>
    <t xml:space="preserve"> 6 Adders</t>
  </si>
  <si>
    <t>Layer_FC</t>
  </si>
  <si>
    <t>FC_1</t>
  </si>
  <si>
    <t>dns256_out_dot</t>
  </si>
  <si>
    <t>256 x 19 bits</t>
  </si>
  <si>
    <t>(32, 32, 128) x 19  bits</t>
  </si>
  <si>
    <t>Filters_dns256</t>
  </si>
  <si>
    <t>(32, 32, 128, 256)  x 19 bits</t>
  </si>
  <si>
    <t>256 x 32 x 32 x 128 = 33,554,432 Mul
+
256 x 32 x 32 x 128 = 33,554,432 Add</t>
  </si>
  <si>
    <t>74,899 Multiplication cycles
23,832 Addition cycles</t>
  </si>
  <si>
    <t>33,554,432/448 cycles for multiplier
33,554,432/(1408*2) cycles for adder</t>
  </si>
  <si>
    <t>dns256_out_bias</t>
  </si>
  <si>
    <t>Biases_dns256</t>
  </si>
  <si>
    <t>1 Addition cycle</t>
  </si>
  <si>
    <t>256/(1408*2) cycles for adder</t>
  </si>
  <si>
    <t>ReLU Activation
 [max(0, conv_out)]</t>
  </si>
  <si>
    <t>dns256_out</t>
  </si>
  <si>
    <t>FC_2</t>
  </si>
  <si>
    <t>Dot Product
 [Filters]</t>
  </si>
  <si>
    <t>dns4_out_dot</t>
  </si>
  <si>
    <t>4 x 19 bits</t>
  </si>
  <si>
    <t>(1, 1, 256) x 19 bits</t>
  </si>
  <si>
    <t>Filters_dns4</t>
  </si>
  <si>
    <t>(1, 1, 256, 4) x 19 bits</t>
  </si>
  <si>
    <t>4 x 1 x 1 x 256 = 1024 Mul
+
4 x 1 x 1 x 256 = 1024 Add</t>
  </si>
  <si>
    <t>3 Multiplication cycles
1 Addition cycle</t>
  </si>
  <si>
    <t>1024/448 cycles for multiplier
1024/(1408*2) cycles for adder</t>
  </si>
  <si>
    <t>dns4_out_bias</t>
  </si>
  <si>
    <t>4 x19 bits</t>
  </si>
  <si>
    <t>Biases_dns4</t>
  </si>
  <si>
    <t>1 Addition cycles</t>
  </si>
  <si>
    <t>4/(1408*2) cycles for adder</t>
  </si>
  <si>
    <t>dns4_out</t>
  </si>
  <si>
    <t>4  x 19 bits</t>
  </si>
  <si>
    <t>Total number of cycles</t>
  </si>
  <si>
    <t>Automatic
 Total 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</si>
</sst>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sz val="14.0"/>
      <color theme="1"/>
      <name val="Arial"/>
    </font>
    <font>
      <b/>
      <sz val="10.0"/>
      <color theme="1"/>
      <name val="Arial"/>
    </font>
    <font>
      <b/>
      <sz val="35.0"/>
      <color rgb="FF000000"/>
      <name val="Arial"/>
    </font>
    <font/>
    <font>
      <b/>
      <sz val="18.0"/>
      <color theme="1"/>
      <name val="Arial"/>
    </font>
    <font>
      <sz val="16.0"/>
      <color theme="1"/>
      <name val="Arial"/>
    </font>
    <font>
      <sz val="15.0"/>
      <color theme="1"/>
      <name val="Arial"/>
      <scheme val="minor"/>
    </font>
    <font>
      <sz val="20.0"/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</font>
    <font>
      <b/>
      <sz val="40.0"/>
      <color theme="1"/>
      <name val="Arial"/>
    </font>
    <font>
      <sz val="16.0"/>
      <color theme="1"/>
      <name val="Arial"/>
      <scheme val="minor"/>
    </font>
    <font>
      <sz val="17.0"/>
      <color theme="1"/>
      <name val="Arial"/>
    </font>
    <font>
      <sz val="20.0"/>
      <color theme="1"/>
      <name val="Arial"/>
      <scheme val="minor"/>
    </font>
    <font>
      <b/>
      <sz val="14.0"/>
      <color rgb="FF000000"/>
      <name val="Arial"/>
    </font>
    <font>
      <b/>
      <sz val="28.0"/>
      <color rgb="FF000000"/>
      <name val="Arial"/>
    </font>
    <font>
      <b/>
      <sz val="39.0"/>
      <color theme="1"/>
      <name val="Arial"/>
    </font>
    <font>
      <b/>
      <sz val="17.0"/>
      <color rgb="FF000000"/>
      <name val="Arial"/>
    </font>
    <font>
      <sz val="17.0"/>
      <color rgb="FF000000"/>
      <name val="Arial"/>
    </font>
    <font>
      <sz val="10.0"/>
      <color rgb="FF000000"/>
      <name val="Arial"/>
    </font>
    <font>
      <color theme="0"/>
      <name val="Arial"/>
      <scheme val="minor"/>
    </font>
    <font>
      <sz val="12.0"/>
      <color theme="1"/>
      <name val="&quot;Aptos&quot;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27.0"/>
      <color theme="0"/>
      <name val="Arial"/>
    </font>
    <font>
      <b/>
      <sz val="27.0"/>
      <color rgb="FFFFFFFF"/>
      <name val="Arial"/>
    </font>
    <font>
      <b/>
      <sz val="60.0"/>
      <color theme="0"/>
      <name val="Arial"/>
    </font>
    <font>
      <b/>
      <sz val="60.0"/>
      <color rgb="FFFFFFFF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1F1DA"/>
        <bgColor rgb="FFD1F1DA"/>
      </patternFill>
    </fill>
    <fill>
      <patternFill patternType="solid">
        <fgColor rgb="FFFFE1CC"/>
        <bgColor rgb="FFFFE1CC"/>
      </patternFill>
    </fill>
    <fill>
      <patternFill patternType="solid">
        <fgColor theme="5"/>
        <bgColor theme="5"/>
      </patternFill>
    </fill>
    <fill>
      <patternFill patternType="solid">
        <fgColor rgb="FFF1C232"/>
        <bgColor rgb="FFF1C232"/>
      </patternFill>
    </fill>
    <fill>
      <patternFill patternType="solid">
        <fgColor rgb="FF84F1F9"/>
        <bgColor rgb="FF84F1F9"/>
      </patternFill>
    </fill>
    <fill>
      <patternFill patternType="solid">
        <fgColor rgb="FF00FF00"/>
        <bgColor rgb="FF00FF00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</border>
    <border>
      <left/>
      <right/>
      <bottom/>
    </border>
    <border>
      <left/>
      <bottom/>
    </border>
    <border>
      <left/>
      <right/>
      <top/>
      <bottom/>
    </border>
    <border>
      <left/>
      <right/>
      <top/>
    </border>
    <border>
      <left/>
      <top/>
      <bottom/>
    </border>
    <border>
      <left/>
      <top/>
    </border>
    <border>
      <top/>
    </border>
    <border>
      <right/>
      <top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left" readingOrder="0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left" readingOrder="0" vertical="center"/>
    </xf>
    <xf borderId="1" fillId="5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6" fontId="5" numFmtId="0" xfId="0" applyAlignment="1" applyFill="1" applyFont="1">
      <alignment horizontal="center" readingOrder="0"/>
    </xf>
    <xf borderId="2" fillId="0" fontId="6" numFmtId="0" xfId="0" applyBorder="1" applyFont="1"/>
    <xf borderId="3" fillId="6" fontId="4" numFmtId="0" xfId="0" applyAlignment="1" applyBorder="1" applyFont="1">
      <alignment horizontal="center" vertical="center"/>
    </xf>
    <xf borderId="3" fillId="6" fontId="7" numFmtId="0" xfId="0" applyAlignment="1" applyBorder="1" applyFont="1">
      <alignment horizontal="center" vertical="center"/>
    </xf>
    <xf borderId="3" fillId="7" fontId="7" numFmtId="0" xfId="0" applyAlignment="1" applyBorder="1" applyFill="1" applyFont="1">
      <alignment horizontal="center" vertical="center"/>
    </xf>
    <xf borderId="3" fillId="8" fontId="7" numFmtId="0" xfId="0" applyAlignment="1" applyBorder="1" applyFill="1" applyFont="1">
      <alignment horizontal="center" vertical="center"/>
    </xf>
    <xf borderId="3" fillId="3" fontId="7" numFmtId="0" xfId="0" applyAlignment="1" applyBorder="1" applyFont="1">
      <alignment horizontal="center" readingOrder="0" vertical="center"/>
    </xf>
    <xf borderId="3" fillId="9" fontId="7" numFmtId="0" xfId="0" applyAlignment="1" applyBorder="1" applyFill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10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readingOrder="0" shrinkToFit="0" vertical="center" wrapText="1"/>
    </xf>
    <xf borderId="3" fillId="6" fontId="8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shrinkToFit="0" vertical="center" wrapText="1"/>
    </xf>
    <xf borderId="3" fillId="3" fontId="8" numFmtId="3" xfId="0" applyAlignment="1" applyBorder="1" applyFont="1" applyNumberFormat="1">
      <alignment horizontal="center" shrinkToFit="0" vertical="center" wrapText="1"/>
    </xf>
    <xf borderId="3" fillId="9" fontId="3" numFmtId="0" xfId="0" applyAlignment="1" applyBorder="1" applyFont="1">
      <alignment horizontal="center" readingOrder="0" vertical="center"/>
    </xf>
    <xf borderId="3" fillId="3" fontId="8" numFmtId="3" xfId="0" applyAlignment="1" applyBorder="1" applyFont="1" applyNumberFormat="1">
      <alignment horizontal="center" readingOrder="0" shrinkToFit="0" vertical="center" wrapText="1"/>
    </xf>
    <xf borderId="3" fillId="0" fontId="8" numFmtId="3" xfId="0" applyAlignment="1" applyBorder="1" applyFont="1" applyNumberForma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3" fontId="8" numFmtId="3" xfId="0" applyAlignment="1" applyBorder="1" applyFont="1" applyNumberFormat="1">
      <alignment horizontal="center" readingOrder="0" vertical="center"/>
    </xf>
    <xf borderId="4" fillId="6" fontId="10" numFmtId="3" xfId="0" applyAlignment="1" applyBorder="1" applyFont="1" applyNumberFormat="1">
      <alignment horizontal="center" readingOrder="0" vertical="center"/>
    </xf>
    <xf borderId="4" fillId="6" fontId="7" numFmtId="0" xfId="0" applyAlignment="1" applyBorder="1" applyFont="1">
      <alignment horizontal="center" vertical="center"/>
    </xf>
    <xf borderId="3" fillId="3" fontId="10" numFmtId="3" xfId="0" applyAlignment="1" applyBorder="1" applyFont="1" applyNumberFormat="1">
      <alignment horizontal="left" readingOrder="0" vertical="center"/>
    </xf>
    <xf borderId="3" fillId="3" fontId="10" numFmtId="3" xfId="0" applyAlignment="1" applyBorder="1" applyFont="1" applyNumberFormat="1">
      <alignment horizontal="center" readingOrder="0" vertical="center"/>
    </xf>
    <xf borderId="5" fillId="0" fontId="6" numFmtId="0" xfId="0" applyBorder="1" applyFont="1"/>
    <xf borderId="3" fillId="9" fontId="8" numFmtId="3" xfId="0" applyAlignment="1" applyBorder="1" applyFont="1" applyNumberFormat="1">
      <alignment horizontal="center" readingOrder="0" vertical="center"/>
    </xf>
    <xf borderId="6" fillId="0" fontId="6" numFmtId="0" xfId="0" applyBorder="1" applyFont="1"/>
    <xf borderId="3" fillId="3" fontId="8" numFmtId="0" xfId="0" applyAlignment="1" applyBorder="1" applyFont="1">
      <alignment horizontal="center" readingOrder="0" vertical="center"/>
    </xf>
    <xf borderId="3" fillId="9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3" fillId="9" fontId="8" numFmtId="3" xfId="0" applyAlignment="1" applyBorder="1" applyFont="1" applyNumberFormat="1">
      <alignment horizontal="center" vertical="center"/>
    </xf>
    <xf borderId="3" fillId="9" fontId="8" numFmtId="0" xfId="0" applyAlignment="1" applyBorder="1" applyFont="1">
      <alignment horizontal="center" vertical="center"/>
    </xf>
    <xf borderId="3" fillId="6" fontId="8" numFmtId="3" xfId="0" applyAlignment="1" applyBorder="1" applyFont="1" applyNumberFormat="1">
      <alignment horizontal="center" readingOrder="0" vertical="center"/>
    </xf>
    <xf borderId="3" fillId="6" fontId="10" numFmtId="3" xfId="0" applyAlignment="1" applyBorder="1" applyFont="1" applyNumberFormat="1">
      <alignment horizontal="center" readingOrder="0" vertical="center"/>
    </xf>
    <xf borderId="4" fillId="11" fontId="7" numFmtId="0" xfId="0" applyAlignment="1" applyBorder="1" applyFill="1" applyFont="1">
      <alignment horizontal="center" vertical="center"/>
    </xf>
    <xf borderId="3" fillId="11" fontId="8" numFmtId="0" xfId="0" applyAlignment="1" applyBorder="1" applyFont="1">
      <alignment horizontal="center" readingOrder="0" vertical="center"/>
    </xf>
    <xf borderId="3" fillId="11" fontId="8" numFmtId="0" xfId="0" applyAlignment="1" applyBorder="1" applyFont="1">
      <alignment horizontal="center" readingOrder="0" shrinkToFit="0" vertical="center" wrapText="1"/>
    </xf>
    <xf borderId="3" fillId="11" fontId="9" numFmtId="0" xfId="0" applyAlignment="1" applyBorder="1" applyFont="1">
      <alignment horizontal="center" readingOrder="0" vertical="center"/>
    </xf>
    <xf borderId="3" fillId="11" fontId="11" numFmtId="0" xfId="0" applyAlignment="1" applyBorder="1" applyFont="1">
      <alignment horizontal="center" readingOrder="0"/>
    </xf>
    <xf borderId="3" fillId="11" fontId="12" numFmtId="0" xfId="0" applyAlignment="1" applyBorder="1" applyFont="1">
      <alignment horizontal="center" readingOrder="0"/>
    </xf>
    <xf borderId="3" fillId="11" fontId="8" numFmtId="3" xfId="0" applyAlignment="1" applyBorder="1" applyFont="1" applyNumberFormat="1">
      <alignment horizontal="center" readingOrder="0" vertical="center"/>
    </xf>
    <xf borderId="4" fillId="9" fontId="13" numFmtId="3" xfId="0" applyAlignment="1" applyBorder="1" applyFont="1" applyNumberFormat="1">
      <alignment horizontal="center" vertical="center"/>
    </xf>
    <xf borderId="3" fillId="3" fontId="11" numFmtId="0" xfId="0" applyAlignment="1" applyBorder="1" applyFont="1">
      <alignment horizontal="center"/>
    </xf>
    <xf borderId="0" fillId="3" fontId="11" numFmtId="0" xfId="0" applyFont="1"/>
    <xf borderId="3" fillId="11" fontId="14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readingOrder="0" vertical="center"/>
    </xf>
    <xf borderId="4" fillId="11" fontId="14" numFmtId="0" xfId="0" applyAlignment="1" applyBorder="1" applyFont="1">
      <alignment horizontal="center" readingOrder="0" vertical="center"/>
    </xf>
    <xf borderId="4" fillId="3" fontId="14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/>
    </xf>
    <xf borderId="7" fillId="6" fontId="4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3" fillId="12" fontId="15" numFmtId="3" xfId="0" applyAlignment="1" applyBorder="1" applyFill="1" applyFont="1" applyNumberFormat="1">
      <alignment horizontal="center" readingOrder="0" vertical="center"/>
    </xf>
    <xf borderId="7" fillId="3" fontId="3" numFmtId="3" xfId="0" applyAlignment="1" applyBorder="1" applyFont="1" applyNumberFormat="1">
      <alignment horizontal="center" vertical="center"/>
    </xf>
    <xf borderId="7" fillId="12" fontId="15" numFmtId="3" xfId="0" applyAlignment="1" applyBorder="1" applyFont="1" applyNumberFormat="1">
      <alignment horizontal="center" readingOrder="0" vertical="center"/>
    </xf>
    <xf borderId="7" fillId="0" fontId="11" numFmtId="0" xfId="0" applyAlignment="1" applyBorder="1" applyFont="1">
      <alignment horizontal="center"/>
    </xf>
    <xf borderId="3" fillId="10" fontId="15" numFmtId="3" xfId="0" applyAlignment="1" applyBorder="1" applyFont="1" applyNumberFormat="1">
      <alignment horizontal="center" readingOrder="0" vertical="center"/>
    </xf>
    <xf borderId="0" fillId="6" fontId="4" numFmtId="0" xfId="0" applyAlignment="1" applyFont="1">
      <alignment horizontal="center" vertical="center"/>
    </xf>
    <xf borderId="0" fillId="6" fontId="2" numFmtId="0" xfId="0" applyAlignment="1" applyFont="1">
      <alignment horizontal="center" vertical="center"/>
    </xf>
    <xf borderId="7" fillId="0" fontId="6" numFmtId="0" xfId="0" applyBorder="1" applyFont="1"/>
    <xf borderId="2" fillId="6" fontId="5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vertical="center"/>
    </xf>
    <xf borderId="6" fillId="7" fontId="7" numFmtId="0" xfId="0" applyAlignment="1" applyBorder="1" applyFont="1">
      <alignment horizontal="center" vertical="center"/>
    </xf>
    <xf borderId="6" fillId="8" fontId="7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3" fillId="9" fontId="3" numFmtId="0" xfId="0" applyAlignment="1" applyBorder="1" applyFont="1">
      <alignment horizontal="center" vertical="center"/>
    </xf>
    <xf borderId="3" fillId="0" fontId="11" numFmtId="0" xfId="0" applyBorder="1" applyFont="1"/>
    <xf borderId="3" fillId="0" fontId="16" numFmtId="0" xfId="0" applyAlignment="1" applyBorder="1" applyFont="1">
      <alignment horizontal="center" readingOrder="0" vertical="center"/>
    </xf>
    <xf borderId="3" fillId="6" fontId="17" numFmtId="3" xfId="0" applyAlignment="1" applyBorder="1" applyFont="1" applyNumberFormat="1">
      <alignment horizontal="center" readingOrder="0" vertical="center"/>
    </xf>
    <xf borderId="4" fillId="11" fontId="7" numFmtId="0" xfId="0" applyAlignment="1" applyBorder="1" applyFont="1">
      <alignment horizontal="center" readingOrder="0" vertical="center"/>
    </xf>
    <xf borderId="3" fillId="11" fontId="18" numFmtId="0" xfId="0" applyAlignment="1" applyBorder="1" applyFont="1">
      <alignment horizontal="center" readingOrder="0" vertical="center"/>
    </xf>
    <xf borderId="3" fillId="11" fontId="8" numFmtId="3" xfId="0" applyAlignment="1" applyBorder="1" applyFont="1" applyNumberFormat="1">
      <alignment horizontal="center" vertical="center"/>
    </xf>
    <xf borderId="3" fillId="3" fontId="11" numFmtId="0" xfId="0" applyAlignment="1" applyBorder="1" applyFont="1">
      <alignment vertical="center"/>
    </xf>
    <xf borderId="0" fillId="3" fontId="11" numFmtId="0" xfId="0" applyAlignment="1" applyFont="1">
      <alignment vertical="center"/>
    </xf>
    <xf borderId="0" fillId="3" fontId="3" numFmtId="3" xfId="0" applyAlignment="1" applyFont="1" applyNumberFormat="1">
      <alignment horizontal="center" vertical="center"/>
    </xf>
    <xf borderId="8" fillId="12" fontId="15" numFmtId="3" xfId="0" applyAlignment="1" applyBorder="1" applyFont="1" applyNumberFormat="1">
      <alignment horizontal="center" readingOrder="0" vertical="center"/>
    </xf>
    <xf borderId="9" fillId="0" fontId="6" numFmtId="0" xfId="0" applyBorder="1" applyFont="1"/>
    <xf borderId="6" fillId="9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0" fillId="6" fontId="8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vertical="center"/>
    </xf>
    <xf borderId="0" fillId="6" fontId="8" numFmtId="0" xfId="0" applyAlignment="1" applyFont="1">
      <alignment horizontal="center" shrinkToFit="0" vertical="center" wrapText="1"/>
    </xf>
    <xf borderId="0" fillId="3" fontId="8" numFmtId="3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vertical="center"/>
    </xf>
    <xf borderId="3" fillId="11" fontId="8" numFmtId="0" xfId="0" applyAlignment="1" applyBorder="1" applyFont="1">
      <alignment horizontal="center" vertical="center"/>
    </xf>
    <xf borderId="0" fillId="6" fontId="19" numFmtId="0" xfId="0" applyAlignment="1" applyFont="1">
      <alignment horizontal="center"/>
    </xf>
    <xf borderId="0" fillId="6" fontId="20" numFmtId="0" xfId="0" applyAlignment="1" applyFont="1">
      <alignment horizontal="center" readingOrder="0"/>
    </xf>
    <xf borderId="4" fillId="12" fontId="21" numFmtId="0" xfId="0" applyAlignment="1" applyBorder="1" applyFont="1">
      <alignment horizontal="center" readingOrder="0" vertical="center"/>
    </xf>
    <xf borderId="0" fillId="12" fontId="21" numFmtId="3" xfId="0" applyAlignment="1" applyFont="1" applyNumberFormat="1">
      <alignment horizontal="center" readingOrder="0" vertical="center"/>
    </xf>
    <xf borderId="7" fillId="3" fontId="21" numFmtId="0" xfId="0" applyAlignment="1" applyBorder="1" applyFont="1">
      <alignment horizontal="center" readingOrder="0" vertical="center"/>
    </xf>
    <xf borderId="3" fillId="3" fontId="7" numFmtId="0" xfId="0" applyAlignment="1" applyBorder="1" applyFont="1">
      <alignment horizontal="center" vertical="center"/>
    </xf>
    <xf borderId="3" fillId="6" fontId="10" numFmtId="0" xfId="0" applyAlignment="1" applyBorder="1" applyFont="1">
      <alignment horizontal="center" readingOrder="0" vertical="center"/>
    </xf>
    <xf borderId="3" fillId="6" fontId="10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readingOrder="0" vertical="center"/>
    </xf>
    <xf borderId="3" fillId="6" fontId="10" numFmtId="0" xfId="0" applyAlignment="1" applyBorder="1" applyFont="1">
      <alignment horizontal="center" vertical="center"/>
    </xf>
    <xf borderId="4" fillId="9" fontId="10" numFmtId="3" xfId="0" applyAlignment="1" applyBorder="1" applyFont="1" applyNumberFormat="1">
      <alignment horizontal="left" readingOrder="0" vertical="center"/>
    </xf>
    <xf borderId="0" fillId="0" fontId="18" numFmtId="0" xfId="0" applyFont="1"/>
    <xf borderId="0" fillId="6" fontId="22" numFmtId="0" xfId="0" applyAlignment="1" applyFont="1">
      <alignment horizontal="center" vertical="center"/>
    </xf>
    <xf borderId="0" fillId="6" fontId="23" numFmtId="0" xfId="0" applyAlignment="1" applyFont="1">
      <alignment horizontal="center" vertical="center"/>
    </xf>
    <xf borderId="0" fillId="6" fontId="24" numFmtId="0" xfId="0" applyAlignment="1" applyFont="1">
      <alignment horizontal="center" vertical="center"/>
    </xf>
    <xf borderId="3" fillId="12" fontId="15" numFmtId="3" xfId="0" applyAlignment="1" applyBorder="1" applyFont="1" applyNumberFormat="1">
      <alignment horizontal="center" readingOrder="0"/>
    </xf>
    <xf borderId="10" fillId="3" fontId="25" numFmtId="0" xfId="0" applyBorder="1" applyFont="1"/>
    <xf borderId="0" fillId="12" fontId="15" numFmtId="3" xfId="0" applyAlignment="1" applyFont="1" applyNumberFormat="1">
      <alignment horizontal="center" readingOrder="0"/>
    </xf>
    <xf borderId="0" fillId="0" fontId="26" numFmtId="0" xfId="0" applyAlignment="1" applyFont="1">
      <alignment readingOrder="0"/>
    </xf>
    <xf borderId="6" fillId="6" fontId="27" numFmtId="0" xfId="0" applyBorder="1" applyFont="1"/>
    <xf borderId="6" fillId="6" fontId="7" numFmtId="0" xfId="0" applyAlignment="1" applyBorder="1" applyFont="1">
      <alignment horizontal="center"/>
    </xf>
    <xf borderId="6" fillId="7" fontId="7" numFmtId="0" xfId="0" applyAlignment="1" applyBorder="1" applyFont="1">
      <alignment horizontal="center"/>
    </xf>
    <xf borderId="6" fillId="8" fontId="7" numFmtId="0" xfId="0" applyAlignment="1" applyBorder="1" applyFont="1">
      <alignment horizontal="center"/>
    </xf>
    <xf borderId="4" fillId="6" fontId="7" numFmtId="0" xfId="0" applyAlignment="1" applyBorder="1" applyFont="1">
      <alignment horizontal="center" readingOrder="0" vertical="center"/>
    </xf>
    <xf borderId="3" fillId="6" fontId="17" numFmtId="0" xfId="0" applyAlignment="1" applyBorder="1" applyFont="1">
      <alignment horizontal="center" readingOrder="0" vertical="center"/>
    </xf>
    <xf borderId="3" fillId="3" fontId="17" numFmtId="0" xfId="0" applyAlignment="1" applyBorder="1" applyFont="1">
      <alignment horizontal="center" readingOrder="0" vertical="center"/>
    </xf>
    <xf borderId="3" fillId="9" fontId="17" numFmtId="0" xfId="0" applyAlignment="1" applyBorder="1" applyFont="1">
      <alignment horizontal="center" readingOrder="0" vertical="center"/>
    </xf>
    <xf borderId="3" fillId="0" fontId="10" numFmtId="3" xfId="0" applyAlignment="1" applyBorder="1" applyFont="1" applyNumberFormat="1">
      <alignment horizontal="center" readingOrder="0" vertical="center"/>
    </xf>
    <xf borderId="3" fillId="0" fontId="18" numFmtId="0" xfId="0" applyBorder="1" applyFont="1"/>
    <xf borderId="3" fillId="0" fontId="10" numFmtId="0" xfId="0" applyAlignment="1" applyBorder="1" applyFont="1">
      <alignment horizontal="center" readingOrder="0" vertical="center"/>
    </xf>
    <xf borderId="3" fillId="6" fontId="17" numFmtId="0" xfId="0" applyAlignment="1" applyBorder="1" applyFont="1">
      <alignment horizontal="center" readingOrder="0" shrinkToFit="0" vertical="center" wrapText="1"/>
    </xf>
    <xf borderId="3" fillId="6" fontId="28" numFmtId="0" xfId="0" applyAlignment="1" applyBorder="1" applyFont="1">
      <alignment horizontal="center" vertical="center"/>
    </xf>
    <xf borderId="3" fillId="6" fontId="28" numFmtId="0" xfId="0" applyBorder="1" applyFont="1"/>
    <xf borderId="3" fillId="3" fontId="28" numFmtId="0" xfId="0" applyBorder="1" applyFont="1"/>
    <xf borderId="3" fillId="9" fontId="28" numFmtId="0" xfId="0" applyBorder="1" applyFont="1"/>
    <xf borderId="3" fillId="0" fontId="10" numFmtId="0" xfId="0" applyBorder="1" applyFont="1"/>
    <xf borderId="3" fillId="0" fontId="10" numFmtId="0" xfId="0" applyAlignment="1" applyBorder="1" applyFont="1">
      <alignment horizontal="center" readingOrder="0"/>
    </xf>
    <xf borderId="3" fillId="3" fontId="29" numFmtId="0" xfId="0" applyAlignment="1" applyBorder="1" applyFont="1">
      <alignment readingOrder="0"/>
    </xf>
    <xf borderId="11" fillId="6" fontId="22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3" fillId="6" fontId="24" numFmtId="0" xfId="0" applyAlignment="1" applyBorder="1" applyFont="1">
      <alignment horizontal="center" vertical="center"/>
    </xf>
    <xf borderId="0" fillId="3" fontId="8" numFmtId="0" xfId="0" applyAlignment="1" applyFont="1">
      <alignment horizontal="center"/>
    </xf>
    <xf borderId="12" fillId="6" fontId="22" numFmtId="0" xfId="0" applyAlignment="1" applyBorder="1" applyFont="1">
      <alignment horizontal="center" vertical="center"/>
    </xf>
    <xf borderId="14" fillId="6" fontId="23" numFmtId="0" xfId="0" applyAlignment="1" applyBorder="1" applyFont="1">
      <alignment horizontal="center" vertical="center"/>
    </xf>
    <xf borderId="14" fillId="6" fontId="24" numFmtId="0" xfId="0" applyAlignment="1" applyBorder="1" applyFont="1">
      <alignment horizontal="center" vertical="center"/>
    </xf>
    <xf borderId="0" fillId="3" fontId="28" numFmtId="0" xfId="0" applyAlignment="1" applyFont="1">
      <alignment vertical="bottom"/>
    </xf>
    <xf borderId="0" fillId="3" fontId="28" numFmtId="0" xfId="0" applyFont="1"/>
    <xf borderId="0" fillId="0" fontId="28" numFmtId="0" xfId="0" applyFont="1"/>
    <xf borderId="15" fillId="6" fontId="22" numFmtId="0" xfId="0" applyAlignment="1" applyBorder="1" applyFont="1">
      <alignment horizontal="center" vertical="center"/>
    </xf>
    <xf borderId="16" fillId="6" fontId="24" numFmtId="0" xfId="0" applyAlignment="1" applyBorder="1" applyFont="1">
      <alignment horizontal="center" vertical="center"/>
    </xf>
    <xf borderId="3" fillId="12" fontId="30" numFmtId="3" xfId="0" applyAlignment="1" applyBorder="1" applyFont="1" applyNumberFormat="1">
      <alignment horizontal="center" readingOrder="0" vertical="bottom"/>
    </xf>
    <xf borderId="0" fillId="3" fontId="8" numFmtId="3" xfId="0" applyAlignment="1" applyFont="1" applyNumberFormat="1">
      <alignment horizontal="center"/>
    </xf>
    <xf borderId="3" fillId="12" fontId="31" numFmtId="3" xfId="0" applyAlignment="1" applyBorder="1" applyFont="1" applyNumberFormat="1">
      <alignment horizontal="center" readingOrder="0" vertical="bottom"/>
    </xf>
    <xf borderId="8" fillId="12" fontId="31" numFmtId="3" xfId="0" applyAlignment="1" applyBorder="1" applyFont="1" applyNumberFormat="1">
      <alignment horizontal="center" readingOrder="0" vertical="bottom"/>
    </xf>
    <xf borderId="11" fillId="0" fontId="6" numFmtId="0" xfId="0" applyBorder="1" applyFont="1"/>
    <xf borderId="3" fillId="12" fontId="32" numFmtId="0" xfId="0" applyAlignment="1" applyBorder="1" applyFont="1">
      <alignment horizontal="center" readingOrder="0" vertical="center"/>
    </xf>
    <xf borderId="3" fillId="12" fontId="33" numFmtId="3" xfId="0" applyAlignment="1" applyBorder="1" applyFont="1" applyNumberFormat="1">
      <alignment horizontal="center" readingOrder="0" vertical="center"/>
    </xf>
    <xf borderId="8" fillId="12" fontId="33" numFmtId="3" xfId="0" applyAlignment="1" applyBorder="1" applyFont="1" applyNumberFormat="1">
      <alignment horizontal="center" readingOrder="0" vertical="center"/>
    </xf>
    <xf borderId="12" fillId="0" fontId="6" numFmtId="0" xfId="0" applyBorder="1" applyFont="1"/>
    <xf borderId="14" fillId="6" fontId="22" numFmtId="0" xfId="0" applyAlignment="1" applyBorder="1" applyFont="1">
      <alignment horizontal="center" vertical="center"/>
    </xf>
    <xf borderId="14" fillId="6" fontId="34" numFmtId="0" xfId="0" applyAlignment="1" applyBorder="1" applyFont="1">
      <alignment horizontal="center" vertical="center"/>
    </xf>
    <xf borderId="17" fillId="6" fontId="22" numFmtId="0" xfId="0" applyAlignment="1" applyBorder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13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4" fillId="6" fontId="34" numFmtId="0" xfId="0" applyBorder="1" applyFont="1"/>
    <xf borderId="14" fillId="6" fontId="24" numFmtId="0" xfId="0" applyBorder="1" applyFont="1"/>
    <xf borderId="0" fillId="0" fontId="35" numFmtId="0" xfId="0" applyFont="1"/>
    <xf borderId="0" fillId="0" fontId="36" numFmtId="0" xfId="0" applyFont="1"/>
    <xf borderId="0" fillId="9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38.38"/>
    <col customWidth="1" min="3" max="3" width="22.63"/>
    <col customWidth="1" min="4" max="4" width="26.75"/>
    <col customWidth="1" min="5" max="5" width="22.63"/>
    <col customWidth="1" min="6" max="6" width="29.13"/>
    <col customWidth="1" min="7" max="7" width="20.38"/>
    <col customWidth="1" min="8" max="8" width="35.5"/>
    <col customWidth="1" min="9" max="9" width="88.75"/>
    <col customWidth="1" min="10" max="10" width="47.88"/>
    <col customWidth="1" min="11" max="11" width="107.0"/>
    <col customWidth="1" min="12" max="13" width="47.88"/>
    <col customWidth="1" min="14" max="15" width="73.38"/>
    <col customWidth="1" min="16" max="16" width="42.88"/>
    <col customWidth="1" min="17" max="17" width="69.13"/>
    <col customWidth="1" min="18" max="18" width="39.0"/>
    <col customWidth="1" min="19" max="19" width="37.38"/>
    <col customWidth="1" min="20" max="20" width="44.25"/>
    <col customWidth="1" min="21" max="21" width="53.63"/>
  </cols>
  <sheetData>
    <row r="1">
      <c r="A1" s="1" t="s">
        <v>0</v>
      </c>
      <c r="B1" s="2">
        <v>9216.0</v>
      </c>
      <c r="C1" s="3"/>
      <c r="D1" s="3"/>
      <c r="E1" s="3"/>
      <c r="F1" s="3"/>
      <c r="G1" s="3"/>
      <c r="H1" s="3"/>
      <c r="I1" s="3"/>
      <c r="J1" s="4"/>
      <c r="K1" s="5" t="str">
        <f>roun</f>
        <v>#NAME?</v>
      </c>
    </row>
    <row r="2">
      <c r="A2" s="6" t="s">
        <v>1</v>
      </c>
      <c r="B2" s="7">
        <f>448*4</f>
        <v>1792</v>
      </c>
      <c r="C2" s="3"/>
      <c r="D2" s="3"/>
      <c r="E2" s="3"/>
      <c r="F2" s="3"/>
      <c r="G2" s="3"/>
      <c r="H2" s="3"/>
      <c r="I2" s="3"/>
      <c r="J2" s="4"/>
      <c r="K2" s="5"/>
    </row>
    <row r="3">
      <c r="A3" s="8" t="s">
        <v>2</v>
      </c>
      <c r="B3" s="9">
        <f>1408</f>
        <v>1408</v>
      </c>
      <c r="C3" s="3"/>
      <c r="D3" s="3"/>
      <c r="E3" s="3"/>
      <c r="F3" s="3"/>
      <c r="G3" s="3"/>
      <c r="H3" s="3"/>
      <c r="I3" s="3"/>
      <c r="J3" s="4"/>
      <c r="K3" s="5"/>
    </row>
    <row r="4">
      <c r="A4" s="6" t="s">
        <v>3</v>
      </c>
      <c r="B4" s="10">
        <v>1.0</v>
      </c>
      <c r="C4" s="3"/>
      <c r="D4" s="3"/>
      <c r="E4" s="3"/>
      <c r="F4" s="3"/>
      <c r="G4" s="3"/>
      <c r="H4" s="3"/>
      <c r="I4" s="3"/>
      <c r="J4" s="4"/>
      <c r="K4" s="5"/>
    </row>
    <row r="5">
      <c r="A5" s="8" t="s">
        <v>4</v>
      </c>
      <c r="B5" s="11">
        <v>0.5</v>
      </c>
      <c r="C5" s="3"/>
      <c r="D5" s="3"/>
      <c r="E5" s="3"/>
      <c r="F5" s="3"/>
      <c r="G5" s="3"/>
      <c r="H5" s="3"/>
      <c r="I5" s="3"/>
      <c r="J5" s="4"/>
      <c r="K5" s="5"/>
    </row>
    <row r="6">
      <c r="A6" s="6" t="s">
        <v>5</v>
      </c>
      <c r="B6" s="7">
        <f t="shared" ref="B6:B7" si="1">DIVIDE(B2, B4)</f>
        <v>1792</v>
      </c>
      <c r="C6" s="3"/>
      <c r="D6" s="3"/>
      <c r="E6" s="3"/>
      <c r="F6" s="3"/>
      <c r="G6" s="3"/>
      <c r="H6" s="3"/>
      <c r="I6" s="3"/>
      <c r="J6" s="4"/>
      <c r="K6" s="5"/>
    </row>
    <row r="7">
      <c r="A7" s="8" t="s">
        <v>6</v>
      </c>
      <c r="B7" s="9">
        <f t="shared" si="1"/>
        <v>2816</v>
      </c>
      <c r="C7" s="3"/>
      <c r="D7" s="3"/>
      <c r="E7" s="3"/>
      <c r="F7" s="3"/>
      <c r="G7" s="3"/>
      <c r="H7" s="3"/>
      <c r="I7" s="3"/>
      <c r="J7" s="4"/>
      <c r="K7" s="5"/>
    </row>
    <row r="8">
      <c r="A8" s="12"/>
      <c r="B8" s="3"/>
      <c r="C8" s="3"/>
      <c r="D8" s="3"/>
      <c r="E8" s="3"/>
      <c r="F8" s="3"/>
      <c r="G8" s="3"/>
      <c r="H8" s="3"/>
      <c r="I8" s="3"/>
      <c r="J8" s="4"/>
      <c r="K8" s="5"/>
    </row>
    <row r="9">
      <c r="A9" s="13"/>
      <c r="B9" s="3"/>
      <c r="C9" s="3"/>
      <c r="D9" s="3"/>
      <c r="E9" s="3"/>
      <c r="F9" s="3"/>
      <c r="G9" s="3"/>
      <c r="H9" s="3"/>
      <c r="I9" s="3"/>
      <c r="J9" s="4"/>
      <c r="K9" s="5"/>
    </row>
    <row r="10">
      <c r="A10" s="14" t="s">
        <v>7</v>
      </c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>
      <c r="A13" s="16"/>
      <c r="B13" s="17" t="s">
        <v>8</v>
      </c>
      <c r="C13" s="18" t="s">
        <v>9</v>
      </c>
      <c r="D13" s="18" t="s">
        <v>10</v>
      </c>
      <c r="E13" s="19" t="s">
        <v>11</v>
      </c>
      <c r="F13" s="19" t="s">
        <v>12</v>
      </c>
      <c r="G13" s="19" t="s">
        <v>13</v>
      </c>
      <c r="H13" s="19" t="s">
        <v>14</v>
      </c>
      <c r="I13" s="17" t="s">
        <v>15</v>
      </c>
      <c r="J13" s="20" t="s">
        <v>16</v>
      </c>
      <c r="K13" s="21" t="s">
        <v>17</v>
      </c>
      <c r="L13" s="22" t="s">
        <v>18</v>
      </c>
      <c r="M13" s="22" t="s">
        <v>19</v>
      </c>
      <c r="N13" s="20" t="s">
        <v>20</v>
      </c>
      <c r="O13" s="20" t="s">
        <v>21</v>
      </c>
      <c r="P13" s="22" t="s">
        <v>22</v>
      </c>
      <c r="Q13" s="22" t="s">
        <v>23</v>
      </c>
      <c r="R13" s="22" t="s">
        <v>24</v>
      </c>
      <c r="S13" s="22" t="s">
        <v>25</v>
      </c>
      <c r="T13" s="23" t="s">
        <v>26</v>
      </c>
      <c r="U13" s="22" t="s">
        <v>27</v>
      </c>
    </row>
    <row r="14">
      <c r="A14" s="24" t="s">
        <v>28</v>
      </c>
      <c r="B14" s="25" t="s">
        <v>29</v>
      </c>
      <c r="C14" s="26" t="s">
        <v>30</v>
      </c>
      <c r="D14" s="25" t="s">
        <v>31</v>
      </c>
      <c r="E14" s="27" t="s">
        <v>32</v>
      </c>
      <c r="F14" s="25" t="s">
        <v>33</v>
      </c>
      <c r="G14" s="26" t="s">
        <v>34</v>
      </c>
      <c r="H14" s="28"/>
      <c r="I14" s="25">
        <v>0.0</v>
      </c>
      <c r="J14" s="29"/>
      <c r="K14" s="30"/>
      <c r="L14" s="31" t="s">
        <v>35</v>
      </c>
      <c r="M14" s="31" t="s">
        <v>35</v>
      </c>
      <c r="N14" s="31" t="s">
        <v>35</v>
      </c>
      <c r="O14" s="31" t="s">
        <v>35</v>
      </c>
      <c r="P14" s="32" t="s">
        <v>36</v>
      </c>
      <c r="Q14" s="33">
        <v>0.0</v>
      </c>
      <c r="R14" s="34" t="s">
        <v>35</v>
      </c>
      <c r="S14" s="34" t="s">
        <v>35</v>
      </c>
      <c r="T14" s="34" t="s">
        <v>35</v>
      </c>
      <c r="U14" s="35" t="s">
        <v>37</v>
      </c>
    </row>
    <row r="15">
      <c r="A15" s="36" t="s">
        <v>38</v>
      </c>
      <c r="B15" s="28" t="s">
        <v>39</v>
      </c>
      <c r="C15" s="27" t="s">
        <v>40</v>
      </c>
      <c r="D15" s="25" t="s">
        <v>41</v>
      </c>
      <c r="E15" s="26" t="s">
        <v>30</v>
      </c>
      <c r="F15" s="25" t="s">
        <v>42</v>
      </c>
      <c r="G15" s="27" t="s">
        <v>43</v>
      </c>
      <c r="H15" s="25" t="s">
        <v>44</v>
      </c>
      <c r="I15" s="25" t="s">
        <v>45</v>
      </c>
      <c r="J15" s="31" t="s">
        <v>46</v>
      </c>
      <c r="K15" s="30" t="s">
        <v>47</v>
      </c>
      <c r="L15" s="32" t="s">
        <v>48</v>
      </c>
      <c r="M15" s="32" t="s">
        <v>49</v>
      </c>
      <c r="N15" s="31">
        <f>ROUNDUP(DIVIDE(52428800, B6),0)</f>
        <v>29258</v>
      </c>
      <c r="O15" s="31">
        <f>ROUNDUP(DIVIDE(52428800, B7),0)</f>
        <v>18619</v>
      </c>
      <c r="P15" s="32" t="s">
        <v>36</v>
      </c>
      <c r="Q15" s="37" t="s">
        <v>50</v>
      </c>
      <c r="R15" s="38">
        <v>2816.0</v>
      </c>
      <c r="S15" s="38">
        <v>1792.0</v>
      </c>
      <c r="T15" s="38">
        <f>ROUNDUP(DIVIDE(52428800, S15),0)+ROUNDUP(DIVIDE(52428800, R15),0)</f>
        <v>47877</v>
      </c>
      <c r="U15" s="39"/>
    </row>
    <row r="16">
      <c r="A16" s="39"/>
      <c r="B16" s="28" t="s">
        <v>51</v>
      </c>
      <c r="C16" s="27" t="s">
        <v>52</v>
      </c>
      <c r="D16" s="25" t="s">
        <v>53</v>
      </c>
      <c r="E16" s="27" t="s">
        <v>40</v>
      </c>
      <c r="F16" s="25" t="s">
        <v>54</v>
      </c>
      <c r="G16" s="27" t="s">
        <v>55</v>
      </c>
      <c r="H16" s="25" t="s">
        <v>56</v>
      </c>
      <c r="I16" s="25" t="s">
        <v>57</v>
      </c>
      <c r="J16" s="34">
        <v>1490.0</v>
      </c>
      <c r="K16" s="40" t="s">
        <v>58</v>
      </c>
      <c r="L16" s="32">
        <v>745.0</v>
      </c>
      <c r="M16" s="32">
        <v>745.0</v>
      </c>
      <c r="N16" s="34" t="s">
        <v>35</v>
      </c>
      <c r="O16" s="34">
        <f>ROUNDUP(DIVIDE(2097152, B7),0)</f>
        <v>745</v>
      </c>
      <c r="P16" s="32" t="s">
        <v>36</v>
      </c>
      <c r="Q16" s="37" t="s">
        <v>59</v>
      </c>
      <c r="R16" s="38">
        <v>2816.0</v>
      </c>
      <c r="S16" s="34" t="s">
        <v>35</v>
      </c>
      <c r="T16" s="38">
        <f>ROUNDUP(DIVIDE(2097152, R16),0)</f>
        <v>745</v>
      </c>
      <c r="U16" s="39"/>
    </row>
    <row r="17">
      <c r="A17" s="41"/>
      <c r="B17" s="28" t="s">
        <v>60</v>
      </c>
      <c r="C17" s="27" t="s">
        <v>61</v>
      </c>
      <c r="D17" s="25" t="s">
        <v>62</v>
      </c>
      <c r="E17" s="27" t="s">
        <v>52</v>
      </c>
      <c r="F17" s="25" t="s">
        <v>63</v>
      </c>
      <c r="G17" s="27" t="s">
        <v>64</v>
      </c>
      <c r="H17" s="27">
        <v>0.0</v>
      </c>
      <c r="I17" s="28" t="s">
        <v>65</v>
      </c>
      <c r="J17" s="42">
        <v>0.0</v>
      </c>
      <c r="K17" s="43" t="s">
        <v>66</v>
      </c>
      <c r="L17" s="44">
        <v>0.0</v>
      </c>
      <c r="M17" s="44">
        <v>0.0</v>
      </c>
      <c r="N17" s="42" t="s">
        <v>35</v>
      </c>
      <c r="O17" s="42" t="s">
        <v>35</v>
      </c>
      <c r="P17" s="32" t="s">
        <v>36</v>
      </c>
      <c r="Q17" s="34" t="s">
        <v>35</v>
      </c>
      <c r="R17" s="34" t="s">
        <v>35</v>
      </c>
      <c r="S17" s="34" t="s">
        <v>35</v>
      </c>
      <c r="T17" s="34" t="s">
        <v>35</v>
      </c>
      <c r="U17" s="41"/>
    </row>
    <row r="18">
      <c r="A18" s="36" t="s">
        <v>67</v>
      </c>
      <c r="B18" s="27" t="s">
        <v>68</v>
      </c>
      <c r="C18" s="27" t="s">
        <v>69</v>
      </c>
      <c r="D18" s="25" t="s">
        <v>62</v>
      </c>
      <c r="E18" s="27" t="s">
        <v>61</v>
      </c>
      <c r="F18" s="25" t="s">
        <v>70</v>
      </c>
      <c r="G18" s="27" t="s">
        <v>71</v>
      </c>
      <c r="H18" s="25" t="s">
        <v>72</v>
      </c>
      <c r="I18" s="25" t="s">
        <v>73</v>
      </c>
      <c r="J18" s="34">
        <v>4682.0</v>
      </c>
      <c r="K18" s="45"/>
      <c r="L18" s="32">
        <v>4682.0</v>
      </c>
      <c r="M18" s="32">
        <v>1171.0</v>
      </c>
      <c r="N18" s="34">
        <f>ROUNDUP(DIVIDE(2097152, B6),0)</f>
        <v>1171</v>
      </c>
      <c r="O18" s="34" t="s">
        <v>35</v>
      </c>
      <c r="P18" s="32" t="s">
        <v>36</v>
      </c>
      <c r="Q18" s="37" t="s">
        <v>74</v>
      </c>
      <c r="R18" s="34" t="s">
        <v>35</v>
      </c>
      <c r="S18" s="38">
        <v>1792.0</v>
      </c>
      <c r="T18" s="38">
        <f>ROUNDUP(DIVIDE(2097152, S18),0)</f>
        <v>1171</v>
      </c>
      <c r="U18" s="35" t="s">
        <v>75</v>
      </c>
    </row>
    <row r="19">
      <c r="A19" s="41"/>
      <c r="B19" s="27" t="s">
        <v>76</v>
      </c>
      <c r="C19" s="27" t="s">
        <v>77</v>
      </c>
      <c r="D19" s="25" t="s">
        <v>62</v>
      </c>
      <c r="E19" s="27" t="s">
        <v>69</v>
      </c>
      <c r="F19" s="25" t="s">
        <v>78</v>
      </c>
      <c r="G19" s="27" t="s">
        <v>79</v>
      </c>
      <c r="H19" s="25" t="s">
        <v>80</v>
      </c>
      <c r="I19" s="25" t="s">
        <v>81</v>
      </c>
      <c r="J19" s="42">
        <v>1490.0</v>
      </c>
      <c r="K19" s="46"/>
      <c r="L19" s="44">
        <v>745.0</v>
      </c>
      <c r="M19" s="44">
        <v>745.0</v>
      </c>
      <c r="N19" s="42" t="s">
        <v>35</v>
      </c>
      <c r="O19" s="42">
        <f>ROUNDUP(DIVIDE(2097152, B7),0)</f>
        <v>745</v>
      </c>
      <c r="P19" s="32" t="s">
        <v>36</v>
      </c>
      <c r="Q19" s="37" t="s">
        <v>82</v>
      </c>
      <c r="R19" s="38">
        <v>2816.0</v>
      </c>
      <c r="S19" s="34" t="s">
        <v>35</v>
      </c>
      <c r="T19" s="38">
        <f>ROUNDUP(DIVIDE(2097152, R19),0)</f>
        <v>745</v>
      </c>
      <c r="U19" s="41"/>
    </row>
    <row r="20">
      <c r="A20" s="17" t="s">
        <v>83</v>
      </c>
      <c r="B20" s="27" t="s">
        <v>84</v>
      </c>
      <c r="C20" s="27" t="s">
        <v>85</v>
      </c>
      <c r="D20" s="25" t="s">
        <v>86</v>
      </c>
      <c r="E20" s="27" t="s">
        <v>77</v>
      </c>
      <c r="F20" s="25" t="s">
        <v>87</v>
      </c>
      <c r="G20" s="27" t="s">
        <v>88</v>
      </c>
      <c r="H20" s="27" t="s">
        <v>88</v>
      </c>
      <c r="I20" s="25" t="s">
        <v>89</v>
      </c>
      <c r="J20" s="34">
        <v>1118.0</v>
      </c>
      <c r="K20" s="40" t="s">
        <v>90</v>
      </c>
      <c r="L20" s="47">
        <v>559.0</v>
      </c>
      <c r="M20" s="47">
        <v>559.0</v>
      </c>
      <c r="N20" s="34" t="s">
        <v>35</v>
      </c>
      <c r="O20" s="34">
        <f>ROUNDUP(DIVIDE(1572864, B7),0)</f>
        <v>559</v>
      </c>
      <c r="P20" s="32" t="s">
        <v>36</v>
      </c>
      <c r="Q20" s="37" t="s">
        <v>91</v>
      </c>
      <c r="R20" s="38">
        <v>2816.0</v>
      </c>
      <c r="S20" s="34" t="s">
        <v>35</v>
      </c>
      <c r="T20" s="38">
        <f>ROUNDUP(DIVIDE(1572864, R20),0)</f>
        <v>559</v>
      </c>
      <c r="U20" s="48" t="s">
        <v>92</v>
      </c>
    </row>
    <row r="21">
      <c r="A21" s="49" t="s">
        <v>93</v>
      </c>
      <c r="B21" s="50" t="s">
        <v>94</v>
      </c>
      <c r="C21" s="50" t="s">
        <v>95</v>
      </c>
      <c r="D21" s="51" t="s">
        <v>86</v>
      </c>
      <c r="E21" s="50" t="s">
        <v>96</v>
      </c>
      <c r="F21" s="51" t="s">
        <v>97</v>
      </c>
      <c r="G21" s="52" t="s">
        <v>98</v>
      </c>
      <c r="H21" s="53" t="s">
        <v>99</v>
      </c>
      <c r="I21" s="54" t="s">
        <v>100</v>
      </c>
      <c r="J21" s="55">
        <v>1171.0</v>
      </c>
      <c r="K21" s="56">
        <f>SUM(J21:J24)</f>
        <v>2290</v>
      </c>
      <c r="L21" s="55">
        <v>1171.0</v>
      </c>
      <c r="M21" s="47">
        <v>293.0</v>
      </c>
      <c r="N21" s="55">
        <f>ROUNDUP(DIVIDE(524288, B6),0)</f>
        <v>293</v>
      </c>
      <c r="O21" s="55" t="s">
        <v>35</v>
      </c>
      <c r="P21" s="32" t="s">
        <v>36</v>
      </c>
      <c r="Q21" s="57"/>
      <c r="R21" s="34" t="s">
        <v>35</v>
      </c>
      <c r="S21" s="38">
        <v>1792.0</v>
      </c>
      <c r="T21" s="38">
        <f>ROUNDUP(DIVIDE(524288, S21),0)</f>
        <v>293</v>
      </c>
      <c r="U21" s="35" t="s">
        <v>101</v>
      </c>
      <c r="V21" s="58"/>
      <c r="W21" s="58"/>
      <c r="X21" s="58"/>
      <c r="Y21" s="58"/>
      <c r="Z21" s="58"/>
      <c r="AA21" s="58"/>
      <c r="AB21" s="58"/>
    </row>
    <row r="22">
      <c r="A22" s="39"/>
      <c r="B22" s="50" t="s">
        <v>102</v>
      </c>
      <c r="C22" s="59" t="s">
        <v>103</v>
      </c>
      <c r="D22" s="59" t="s">
        <v>86</v>
      </c>
      <c r="E22" s="59" t="s">
        <v>85</v>
      </c>
      <c r="F22" s="59" t="s">
        <v>86</v>
      </c>
      <c r="G22" s="59" t="s">
        <v>95</v>
      </c>
      <c r="H22" s="59" t="s">
        <v>97</v>
      </c>
      <c r="I22" s="59" t="s">
        <v>104</v>
      </c>
      <c r="J22" s="55">
        <v>373.0</v>
      </c>
      <c r="K22" s="39"/>
      <c r="L22" s="60">
        <v>187.0</v>
      </c>
      <c r="M22" s="60">
        <v>187.0</v>
      </c>
      <c r="N22" s="55" t="s">
        <v>35</v>
      </c>
      <c r="O22" s="55">
        <f>ROUNDUP(DIVIDE(524288, B7),0)</f>
        <v>187</v>
      </c>
      <c r="P22" s="32" t="s">
        <v>36</v>
      </c>
      <c r="Q22" s="57"/>
      <c r="R22" s="38">
        <v>2816.0</v>
      </c>
      <c r="S22" s="34" t="s">
        <v>35</v>
      </c>
      <c r="T22" s="38">
        <f t="shared" ref="T22:T24" si="2">ROUNDUP(DIVIDE(524288, R22),0)</f>
        <v>187</v>
      </c>
      <c r="U22" s="39"/>
      <c r="V22" s="58"/>
      <c r="W22" s="58"/>
      <c r="X22" s="58"/>
      <c r="Y22" s="58"/>
      <c r="Z22" s="58"/>
      <c r="AA22" s="58"/>
      <c r="AB22" s="58"/>
    </row>
    <row r="23">
      <c r="A23" s="39"/>
      <c r="B23" s="59" t="s">
        <v>105</v>
      </c>
      <c r="C23" s="59" t="s">
        <v>96</v>
      </c>
      <c r="D23" s="59" t="s">
        <v>86</v>
      </c>
      <c r="E23" s="59" t="s">
        <v>103</v>
      </c>
      <c r="F23" s="59" t="s">
        <v>97</v>
      </c>
      <c r="G23" s="59" t="s">
        <v>106</v>
      </c>
      <c r="H23" s="59" t="s">
        <v>97</v>
      </c>
      <c r="I23" s="59" t="s">
        <v>107</v>
      </c>
      <c r="J23" s="59">
        <v>373.0</v>
      </c>
      <c r="K23" s="39"/>
      <c r="L23" s="60">
        <v>187.0</v>
      </c>
      <c r="M23" s="60">
        <v>187.0</v>
      </c>
      <c r="N23" s="59" t="s">
        <v>35</v>
      </c>
      <c r="O23" s="59">
        <f>ROUNDUP(DIVIDE(524288, B7),0)</f>
        <v>187</v>
      </c>
      <c r="P23" s="32" t="s">
        <v>36</v>
      </c>
      <c r="Q23" s="57"/>
      <c r="R23" s="38">
        <v>2816.0</v>
      </c>
      <c r="S23" s="34" t="s">
        <v>35</v>
      </c>
      <c r="T23" s="38">
        <f t="shared" si="2"/>
        <v>187</v>
      </c>
      <c r="U23" s="39"/>
      <c r="V23" s="58"/>
      <c r="W23" s="58"/>
      <c r="X23" s="58"/>
      <c r="Y23" s="58"/>
      <c r="Z23" s="58"/>
      <c r="AA23" s="58"/>
      <c r="AB23" s="58"/>
    </row>
    <row r="24">
      <c r="A24" s="41"/>
      <c r="B24" s="61" t="s">
        <v>108</v>
      </c>
      <c r="C24" s="61" t="s">
        <v>109</v>
      </c>
      <c r="D24" s="61" t="s">
        <v>97</v>
      </c>
      <c r="E24" s="61" t="s">
        <v>96</v>
      </c>
      <c r="F24" s="61" t="s">
        <v>97</v>
      </c>
      <c r="G24" s="61" t="s">
        <v>110</v>
      </c>
      <c r="H24" s="61" t="s">
        <v>111</v>
      </c>
      <c r="I24" s="61" t="s">
        <v>112</v>
      </c>
      <c r="J24" s="61">
        <v>373.0</v>
      </c>
      <c r="K24" s="41"/>
      <c r="L24" s="62">
        <v>187.0</v>
      </c>
      <c r="M24" s="62">
        <v>187.0</v>
      </c>
      <c r="N24" s="61" t="s">
        <v>35</v>
      </c>
      <c r="O24" s="61">
        <f>ROUNDUP(DIVIDE(524288, B7),0)</f>
        <v>187</v>
      </c>
      <c r="P24" s="32" t="s">
        <v>36</v>
      </c>
      <c r="Q24" s="63"/>
      <c r="R24" s="38">
        <v>2816.0</v>
      </c>
      <c r="S24" s="34" t="s">
        <v>35</v>
      </c>
      <c r="T24" s="38">
        <f t="shared" si="2"/>
        <v>187</v>
      </c>
      <c r="U24" s="41"/>
      <c r="V24" s="58"/>
      <c r="W24" s="58"/>
      <c r="X24" s="58"/>
      <c r="Y24" s="58"/>
      <c r="Z24" s="58"/>
      <c r="AA24" s="58"/>
      <c r="AB24" s="58"/>
    </row>
    <row r="25">
      <c r="A25" s="64"/>
      <c r="B25" s="65"/>
      <c r="C25" s="65"/>
      <c r="D25" s="65"/>
      <c r="E25" s="65"/>
      <c r="F25" s="65"/>
      <c r="G25" s="65"/>
      <c r="H25" s="65"/>
      <c r="I25" s="65"/>
      <c r="J25" s="66">
        <v>165334.0</v>
      </c>
      <c r="K25" s="67"/>
      <c r="L25" s="66">
        <v>144109.0</v>
      </c>
      <c r="M25" s="66">
        <v>51951.0</v>
      </c>
      <c r="N25" s="68">
        <f>SUM(N15,N18,N21)</f>
        <v>30722</v>
      </c>
      <c r="O25" s="68">
        <f>SUM(O15,O16,O19,O20,O22,O23,O24)</f>
        <v>21229</v>
      </c>
      <c r="P25" s="69"/>
      <c r="Q25" s="69"/>
      <c r="R25" s="69"/>
      <c r="S25" s="69"/>
      <c r="T25" s="70">
        <f>SUM(T1,T14:T24)</f>
        <v>51951</v>
      </c>
      <c r="U25" s="69"/>
    </row>
    <row r="26">
      <c r="A26" s="71"/>
      <c r="B26" s="72"/>
      <c r="C26" s="72"/>
      <c r="D26" s="72"/>
      <c r="E26" s="72"/>
      <c r="F26" s="72"/>
      <c r="G26" s="72"/>
      <c r="H26" s="72"/>
      <c r="J26" s="4"/>
      <c r="K26" s="5"/>
      <c r="L26" s="3"/>
      <c r="M26" s="3"/>
      <c r="N26" s="68">
        <f>SUM(N25,O25)</f>
        <v>51951</v>
      </c>
      <c r="O26" s="73"/>
    </row>
    <row r="27">
      <c r="A27" s="74" t="s">
        <v>113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>
      <c r="A28" s="75"/>
      <c r="B28" s="76" t="s">
        <v>8</v>
      </c>
      <c r="C28" s="77" t="s">
        <v>9</v>
      </c>
      <c r="D28" s="77" t="s">
        <v>10</v>
      </c>
      <c r="E28" s="78" t="s">
        <v>11</v>
      </c>
      <c r="F28" s="78" t="s">
        <v>12</v>
      </c>
      <c r="G28" s="78" t="s">
        <v>13</v>
      </c>
      <c r="H28" s="78" t="s">
        <v>14</v>
      </c>
      <c r="I28" s="79" t="s">
        <v>114</v>
      </c>
      <c r="J28" s="80" t="s">
        <v>115</v>
      </c>
      <c r="K28" s="21" t="s">
        <v>116</v>
      </c>
      <c r="L28" s="22" t="s">
        <v>18</v>
      </c>
      <c r="M28" s="22" t="s">
        <v>19</v>
      </c>
      <c r="N28" s="20" t="s">
        <v>20</v>
      </c>
      <c r="O28" s="20" t="s">
        <v>21</v>
      </c>
      <c r="P28" s="22" t="s">
        <v>22</v>
      </c>
      <c r="Q28" s="22" t="s">
        <v>23</v>
      </c>
      <c r="R28" s="22" t="s">
        <v>24</v>
      </c>
      <c r="S28" s="22" t="s">
        <v>25</v>
      </c>
      <c r="T28" s="22" t="s">
        <v>26</v>
      </c>
      <c r="U28" s="22" t="s">
        <v>27</v>
      </c>
    </row>
    <row r="29">
      <c r="A29" s="24" t="s">
        <v>28</v>
      </c>
      <c r="B29" s="25" t="s">
        <v>117</v>
      </c>
      <c r="C29" s="26" t="s">
        <v>118</v>
      </c>
      <c r="D29" s="25" t="s">
        <v>119</v>
      </c>
      <c r="E29" s="26" t="s">
        <v>109</v>
      </c>
      <c r="F29" s="25" t="s">
        <v>120</v>
      </c>
      <c r="G29" s="26" t="s">
        <v>34</v>
      </c>
      <c r="H29" s="28"/>
      <c r="I29" s="25">
        <v>0.0</v>
      </c>
      <c r="J29" s="29"/>
      <c r="K29" s="81"/>
      <c r="L29" s="31" t="s">
        <v>35</v>
      </c>
      <c r="M29" s="31" t="s">
        <v>35</v>
      </c>
      <c r="N29" s="31" t="s">
        <v>35</v>
      </c>
      <c r="O29" s="31" t="s">
        <v>35</v>
      </c>
      <c r="P29" s="32" t="s">
        <v>36</v>
      </c>
      <c r="Q29" s="82"/>
      <c r="R29" s="34" t="s">
        <v>35</v>
      </c>
      <c r="S29" s="34" t="s">
        <v>35</v>
      </c>
      <c r="T29" s="34" t="s">
        <v>35</v>
      </c>
      <c r="U29" s="35" t="s">
        <v>121</v>
      </c>
    </row>
    <row r="30">
      <c r="A30" s="36" t="s">
        <v>122</v>
      </c>
      <c r="B30" s="28" t="s">
        <v>39</v>
      </c>
      <c r="C30" s="27" t="s">
        <v>123</v>
      </c>
      <c r="D30" s="25" t="s">
        <v>124</v>
      </c>
      <c r="E30" s="26" t="s">
        <v>118</v>
      </c>
      <c r="F30" s="25" t="s">
        <v>125</v>
      </c>
      <c r="G30" s="27" t="s">
        <v>43</v>
      </c>
      <c r="H30" s="25" t="s">
        <v>126</v>
      </c>
      <c r="I30" s="25" t="s">
        <v>127</v>
      </c>
      <c r="J30" s="31" t="s">
        <v>128</v>
      </c>
      <c r="K30" s="30" t="s">
        <v>129</v>
      </c>
      <c r="L30" s="32" t="s">
        <v>130</v>
      </c>
      <c r="M30" s="32" t="s">
        <v>131</v>
      </c>
      <c r="N30" s="31">
        <f>ROUNDUP(DIVIDE(301989888, B6),0)</f>
        <v>168522</v>
      </c>
      <c r="O30" s="31">
        <f>ROUNDUP(DIVIDE(301989888, B7),0)</f>
        <v>107241</v>
      </c>
      <c r="P30" s="83">
        <v>107241.0</v>
      </c>
      <c r="Q30" s="37" t="s">
        <v>132</v>
      </c>
      <c r="R30" s="38">
        <v>2816.0</v>
      </c>
      <c r="S30" s="38">
        <v>1792.0</v>
      </c>
      <c r="T30" s="38">
        <f>ROUNDUP(DIVIDE(301989888, S30),0)+ROUNDUP(DIVIDE(301989888, R30),0)</f>
        <v>275763</v>
      </c>
      <c r="U30" s="39"/>
    </row>
    <row r="31">
      <c r="A31" s="39"/>
      <c r="B31" s="28" t="s">
        <v>51</v>
      </c>
      <c r="C31" s="27" t="s">
        <v>133</v>
      </c>
      <c r="D31" s="25" t="s">
        <v>124</v>
      </c>
      <c r="E31" s="27" t="s">
        <v>123</v>
      </c>
      <c r="F31" s="25" t="s">
        <v>134</v>
      </c>
      <c r="G31" s="27" t="s">
        <v>55</v>
      </c>
      <c r="H31" s="25" t="s">
        <v>135</v>
      </c>
      <c r="I31" s="25" t="s">
        <v>136</v>
      </c>
      <c r="J31" s="34">
        <v>745.0</v>
      </c>
      <c r="K31" s="45"/>
      <c r="L31" s="32">
        <v>373.0</v>
      </c>
      <c r="M31" s="32">
        <v>373.0</v>
      </c>
      <c r="N31" s="34" t="s">
        <v>35</v>
      </c>
      <c r="O31" s="34">
        <f>ROUNDUP(DIVIDE(1048576, B7),0)</f>
        <v>373</v>
      </c>
      <c r="P31" s="32" t="s">
        <v>36</v>
      </c>
      <c r="Q31" s="37" t="s">
        <v>137</v>
      </c>
      <c r="R31" s="38">
        <v>2816.0</v>
      </c>
      <c r="S31" s="34" t="s">
        <v>35</v>
      </c>
      <c r="T31" s="38">
        <f>ROUNDUP(DIVIDE(1048576, R31),0)</f>
        <v>373</v>
      </c>
      <c r="U31" s="39"/>
    </row>
    <row r="32">
      <c r="A32" s="41"/>
      <c r="B32" s="28" t="s">
        <v>60</v>
      </c>
      <c r="C32" s="27" t="s">
        <v>138</v>
      </c>
      <c r="D32" s="25" t="s">
        <v>139</v>
      </c>
      <c r="E32" s="27" t="s">
        <v>133</v>
      </c>
      <c r="F32" s="25" t="s">
        <v>134</v>
      </c>
      <c r="G32" s="27" t="s">
        <v>64</v>
      </c>
      <c r="H32" s="27">
        <v>0.0</v>
      </c>
      <c r="I32" s="28" t="s">
        <v>140</v>
      </c>
      <c r="J32" s="42">
        <v>0.0</v>
      </c>
      <c r="K32" s="43" t="s">
        <v>66</v>
      </c>
      <c r="L32" s="42">
        <v>0.0</v>
      </c>
      <c r="M32" s="42">
        <v>0.0</v>
      </c>
      <c r="N32" s="42" t="s">
        <v>35</v>
      </c>
      <c r="O32" s="42" t="s">
        <v>35</v>
      </c>
      <c r="P32" s="32" t="s">
        <v>36</v>
      </c>
      <c r="Q32" s="34" t="s">
        <v>35</v>
      </c>
      <c r="R32" s="34" t="s">
        <v>35</v>
      </c>
      <c r="S32" s="34" t="s">
        <v>35</v>
      </c>
      <c r="T32" s="34" t="s">
        <v>35</v>
      </c>
      <c r="U32" s="41"/>
    </row>
    <row r="33">
      <c r="A33" s="36" t="s">
        <v>141</v>
      </c>
      <c r="B33" s="27" t="s">
        <v>68</v>
      </c>
      <c r="C33" s="27" t="s">
        <v>142</v>
      </c>
      <c r="D33" s="25" t="s">
        <v>139</v>
      </c>
      <c r="E33" s="27" t="s">
        <v>143</v>
      </c>
      <c r="F33" s="25" t="s">
        <v>144</v>
      </c>
      <c r="G33" s="27" t="s">
        <v>71</v>
      </c>
      <c r="H33" s="25" t="s">
        <v>145</v>
      </c>
      <c r="I33" s="25" t="s">
        <v>146</v>
      </c>
      <c r="J33" s="34">
        <v>2341.0</v>
      </c>
      <c r="K33" s="45"/>
      <c r="L33" s="32">
        <v>2341.0</v>
      </c>
      <c r="M33" s="32">
        <v>586.0</v>
      </c>
      <c r="N33" s="34">
        <f>ROUNDUP(DIVIDE(1048576, B6),0)</f>
        <v>586</v>
      </c>
      <c r="O33" s="34" t="s">
        <v>35</v>
      </c>
      <c r="P33" s="32" t="s">
        <v>36</v>
      </c>
      <c r="Q33" s="37" t="s">
        <v>147</v>
      </c>
      <c r="R33" s="34" t="s">
        <v>35</v>
      </c>
      <c r="S33" s="38">
        <v>1792.0</v>
      </c>
      <c r="T33" s="38">
        <f>ROUNDUP(DIVIDE(1048576, S33),0)</f>
        <v>586</v>
      </c>
      <c r="U33" s="35" t="s">
        <v>75</v>
      </c>
    </row>
    <row r="34">
      <c r="A34" s="41"/>
      <c r="B34" s="27" t="s">
        <v>76</v>
      </c>
      <c r="C34" s="27" t="s">
        <v>148</v>
      </c>
      <c r="D34" s="25" t="s">
        <v>149</v>
      </c>
      <c r="E34" s="27" t="s">
        <v>142</v>
      </c>
      <c r="F34" s="25" t="s">
        <v>144</v>
      </c>
      <c r="G34" s="27" t="s">
        <v>79</v>
      </c>
      <c r="H34" s="25" t="s">
        <v>150</v>
      </c>
      <c r="I34" s="25" t="s">
        <v>151</v>
      </c>
      <c r="J34" s="42">
        <v>745.0</v>
      </c>
      <c r="K34" s="46"/>
      <c r="L34" s="44">
        <v>373.0</v>
      </c>
      <c r="M34" s="44">
        <v>373.0</v>
      </c>
      <c r="N34" s="42" t="s">
        <v>35</v>
      </c>
      <c r="O34" s="42">
        <f>ROUNDUP(DIVIDE(1048576, B7),0)</f>
        <v>373</v>
      </c>
      <c r="P34" s="32" t="s">
        <v>36</v>
      </c>
      <c r="Q34" s="37" t="s">
        <v>152</v>
      </c>
      <c r="R34" s="38">
        <v>2816.0</v>
      </c>
      <c r="S34" s="34" t="s">
        <v>35</v>
      </c>
      <c r="T34" s="38">
        <f>ROUNDUP(DIVIDE(1048576, R34),0)</f>
        <v>373</v>
      </c>
      <c r="U34" s="41"/>
    </row>
    <row r="35">
      <c r="A35" s="17" t="s">
        <v>153</v>
      </c>
      <c r="B35" s="27" t="s">
        <v>84</v>
      </c>
      <c r="C35" s="27" t="s">
        <v>143</v>
      </c>
      <c r="D35" s="25" t="s">
        <v>154</v>
      </c>
      <c r="E35" s="27" t="s">
        <v>138</v>
      </c>
      <c r="F35" s="25" t="s">
        <v>144</v>
      </c>
      <c r="G35" s="27" t="s">
        <v>88</v>
      </c>
      <c r="H35" s="27" t="s">
        <v>88</v>
      </c>
      <c r="I35" s="25" t="s">
        <v>155</v>
      </c>
      <c r="J35" s="34">
        <v>559.0</v>
      </c>
      <c r="K35" s="40" t="s">
        <v>156</v>
      </c>
      <c r="L35" s="84">
        <v>280.0</v>
      </c>
      <c r="M35" s="84">
        <v>280.0</v>
      </c>
      <c r="N35" s="34" t="s">
        <v>35</v>
      </c>
      <c r="O35" s="34">
        <f>ROUNDUP(DIVIDE(786432, B7),0)</f>
        <v>280</v>
      </c>
      <c r="P35" s="32" t="s">
        <v>36</v>
      </c>
      <c r="Q35" s="37" t="s">
        <v>157</v>
      </c>
      <c r="R35" s="38">
        <v>2816.0</v>
      </c>
      <c r="S35" s="34" t="s">
        <v>35</v>
      </c>
      <c r="T35" s="38">
        <f>ROUNDUP(DIVIDE(786432, R35),0)</f>
        <v>280</v>
      </c>
      <c r="U35" s="48" t="s">
        <v>92</v>
      </c>
    </row>
    <row r="36">
      <c r="A36" s="85" t="s">
        <v>158</v>
      </c>
      <c r="B36" s="50" t="s">
        <v>94</v>
      </c>
      <c r="C36" s="50" t="s">
        <v>159</v>
      </c>
      <c r="D36" s="51" t="s">
        <v>160</v>
      </c>
      <c r="E36" s="50" t="s">
        <v>161</v>
      </c>
      <c r="F36" s="51" t="s">
        <v>154</v>
      </c>
      <c r="G36" s="52" t="s">
        <v>98</v>
      </c>
      <c r="H36" s="86" t="s">
        <v>162</v>
      </c>
      <c r="I36" s="59" t="s">
        <v>163</v>
      </c>
      <c r="J36" s="87">
        <v>586.0</v>
      </c>
      <c r="K36" s="56">
        <f>SUM(J36:J39)</f>
        <v>1147</v>
      </c>
      <c r="L36" s="34">
        <v>586.0</v>
      </c>
      <c r="M36" s="34">
        <v>147.0</v>
      </c>
      <c r="N36" s="87">
        <f>ROUNDUP(DIVIDE(262144, B6),0)</f>
        <v>147</v>
      </c>
      <c r="O36" s="55" t="s">
        <v>35</v>
      </c>
      <c r="P36" s="32" t="s">
        <v>36</v>
      </c>
      <c r="Q36" s="82"/>
      <c r="R36" s="34" t="s">
        <v>35</v>
      </c>
      <c r="S36" s="38">
        <v>1792.0</v>
      </c>
      <c r="T36" s="38">
        <f>ROUNDUP(DIVIDE(262144, S36),0)</f>
        <v>147</v>
      </c>
      <c r="U36" s="35" t="s">
        <v>101</v>
      </c>
    </row>
    <row r="37">
      <c r="A37" s="39"/>
      <c r="B37" s="50" t="s">
        <v>102</v>
      </c>
      <c r="C37" s="59" t="s">
        <v>164</v>
      </c>
      <c r="D37" s="59" t="s">
        <v>160</v>
      </c>
      <c r="E37" s="59" t="s">
        <v>143</v>
      </c>
      <c r="F37" s="59" t="s">
        <v>160</v>
      </c>
      <c r="G37" s="59" t="s">
        <v>159</v>
      </c>
      <c r="H37" s="59" t="s">
        <v>160</v>
      </c>
      <c r="I37" s="59" t="s">
        <v>165</v>
      </c>
      <c r="J37" s="55">
        <v>187.0</v>
      </c>
      <c r="K37" s="39"/>
      <c r="L37" s="60">
        <v>94.0</v>
      </c>
      <c r="M37" s="60">
        <v>94.0</v>
      </c>
      <c r="N37" s="55" t="s">
        <v>35</v>
      </c>
      <c r="O37" s="55">
        <f>ROUNDUP(DIVIDE(262144, B7),0)</f>
        <v>94</v>
      </c>
      <c r="P37" s="32" t="s">
        <v>36</v>
      </c>
      <c r="Q37" s="82"/>
      <c r="R37" s="38">
        <v>2816.0</v>
      </c>
      <c r="S37" s="34" t="s">
        <v>35</v>
      </c>
      <c r="T37" s="38">
        <f t="shared" ref="T37:T39" si="3">ROUNDUP(DIVIDE(262144, R37),0)</f>
        <v>94</v>
      </c>
      <c r="U37" s="39"/>
    </row>
    <row r="38">
      <c r="A38" s="39"/>
      <c r="B38" s="59" t="s">
        <v>105</v>
      </c>
      <c r="C38" s="59" t="s">
        <v>161</v>
      </c>
      <c r="D38" s="59" t="s">
        <v>160</v>
      </c>
      <c r="E38" s="59" t="s">
        <v>164</v>
      </c>
      <c r="F38" s="59" t="s">
        <v>160</v>
      </c>
      <c r="G38" s="59" t="s">
        <v>166</v>
      </c>
      <c r="H38" s="59" t="s">
        <v>160</v>
      </c>
      <c r="I38" s="59" t="s">
        <v>167</v>
      </c>
      <c r="J38" s="55">
        <v>187.0</v>
      </c>
      <c r="K38" s="39"/>
      <c r="L38" s="60">
        <v>94.0</v>
      </c>
      <c r="M38" s="60">
        <v>94.0</v>
      </c>
      <c r="N38" s="55" t="s">
        <v>35</v>
      </c>
      <c r="O38" s="55">
        <f>ROUNDUP(DIVIDE(262144, B7),0)</f>
        <v>94</v>
      </c>
      <c r="P38" s="32" t="s">
        <v>36</v>
      </c>
      <c r="Q38" s="88"/>
      <c r="R38" s="38">
        <v>2816.0</v>
      </c>
      <c r="S38" s="34" t="s">
        <v>35</v>
      </c>
      <c r="T38" s="38">
        <f t="shared" si="3"/>
        <v>94</v>
      </c>
      <c r="U38" s="39"/>
      <c r="V38" s="89"/>
      <c r="W38" s="89"/>
      <c r="X38" s="89"/>
      <c r="Y38" s="89"/>
      <c r="Z38" s="89"/>
      <c r="AA38" s="89"/>
      <c r="AB38" s="89"/>
    </row>
    <row r="39">
      <c r="A39" s="41"/>
      <c r="B39" s="59" t="s">
        <v>108</v>
      </c>
      <c r="C39" s="59" t="s">
        <v>168</v>
      </c>
      <c r="D39" s="59" t="s">
        <v>160</v>
      </c>
      <c r="E39" s="59" t="s">
        <v>161</v>
      </c>
      <c r="F39" s="59" t="s">
        <v>160</v>
      </c>
      <c r="G39" s="59" t="s">
        <v>169</v>
      </c>
      <c r="H39" s="59" t="s">
        <v>162</v>
      </c>
      <c r="I39" s="59" t="s">
        <v>170</v>
      </c>
      <c r="J39" s="55">
        <v>187.0</v>
      </c>
      <c r="K39" s="41"/>
      <c r="L39" s="60">
        <v>94.0</v>
      </c>
      <c r="M39" s="60">
        <v>94.0</v>
      </c>
      <c r="N39" s="55" t="s">
        <v>35</v>
      </c>
      <c r="O39" s="55">
        <f>ROUNDUP(DIVIDE(262144, B7),0)</f>
        <v>94</v>
      </c>
      <c r="P39" s="32" t="s">
        <v>36</v>
      </c>
      <c r="Q39" s="88"/>
      <c r="R39" s="38">
        <v>2816.0</v>
      </c>
      <c r="S39" s="34" t="s">
        <v>35</v>
      </c>
      <c r="T39" s="38">
        <f t="shared" si="3"/>
        <v>94</v>
      </c>
      <c r="U39" s="41"/>
      <c r="V39" s="89"/>
      <c r="W39" s="89"/>
      <c r="X39" s="89"/>
      <c r="Y39" s="89"/>
      <c r="Z39" s="89"/>
      <c r="AA39" s="89"/>
      <c r="AB39" s="89"/>
    </row>
    <row r="40">
      <c r="A40" s="71"/>
      <c r="B40" s="72"/>
      <c r="C40" s="72"/>
      <c r="D40" s="72"/>
      <c r="E40" s="72"/>
      <c r="F40" s="4"/>
      <c r="G40" s="4"/>
      <c r="H40" s="4"/>
      <c r="I40" s="4"/>
      <c r="J40" s="66">
        <v>894104.0</v>
      </c>
      <c r="K40" s="90"/>
      <c r="L40" s="66">
        <v>785561.0</v>
      </c>
      <c r="M40" s="66">
        <v>277804.0</v>
      </c>
      <c r="N40" s="66">
        <f>SUM(N30,N33,N36)</f>
        <v>169255</v>
      </c>
      <c r="O40" s="66">
        <f>SUM(O30,O31,O34,O35,O37,O38,O39)</f>
        <v>108549</v>
      </c>
      <c r="P40" s="89"/>
      <c r="Q40" s="89"/>
      <c r="R40" s="89"/>
      <c r="S40" s="89"/>
      <c r="T40" s="70">
        <f>SUM(T44,T29:T39)</f>
        <v>277804</v>
      </c>
      <c r="U40" s="89"/>
      <c r="V40" s="89"/>
      <c r="W40" s="89"/>
      <c r="X40" s="89"/>
      <c r="Y40" s="89"/>
      <c r="Z40" s="89"/>
      <c r="AA40" s="89"/>
      <c r="AB40" s="89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91">
        <f>SUM(N40,O40)</f>
        <v>277804</v>
      </c>
      <c r="O41" s="92"/>
      <c r="P41" s="14"/>
      <c r="Q41" s="14"/>
      <c r="R41" s="14"/>
      <c r="S41" s="14"/>
      <c r="T41" s="14"/>
      <c r="U41" s="14"/>
    </row>
    <row r="42">
      <c r="A42" s="74" t="s">
        <v>171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>
      <c r="A43" s="75"/>
      <c r="B43" s="76" t="s">
        <v>8</v>
      </c>
      <c r="C43" s="77" t="s">
        <v>9</v>
      </c>
      <c r="D43" s="77" t="s">
        <v>10</v>
      </c>
      <c r="E43" s="78" t="s">
        <v>11</v>
      </c>
      <c r="F43" s="78" t="s">
        <v>12</v>
      </c>
      <c r="G43" s="78" t="s">
        <v>13</v>
      </c>
      <c r="H43" s="78" t="s">
        <v>14</v>
      </c>
      <c r="I43" s="76" t="s">
        <v>15</v>
      </c>
      <c r="J43" s="80" t="s">
        <v>115</v>
      </c>
      <c r="K43" s="93" t="s">
        <v>116</v>
      </c>
      <c r="L43" s="94" t="s">
        <v>18</v>
      </c>
      <c r="M43" s="94" t="s">
        <v>19</v>
      </c>
      <c r="N43" s="20" t="s">
        <v>20</v>
      </c>
      <c r="O43" s="20" t="s">
        <v>21</v>
      </c>
      <c r="P43" s="94" t="s">
        <v>22</v>
      </c>
      <c r="Q43" s="94" t="s">
        <v>23</v>
      </c>
      <c r="R43" s="22" t="s">
        <v>24</v>
      </c>
      <c r="S43" s="22" t="s">
        <v>25</v>
      </c>
      <c r="T43" s="22" t="s">
        <v>26</v>
      </c>
      <c r="U43" s="94" t="s">
        <v>27</v>
      </c>
    </row>
    <row r="44">
      <c r="A44" s="24" t="s">
        <v>28</v>
      </c>
      <c r="B44" s="25" t="s">
        <v>117</v>
      </c>
      <c r="C44" s="26" t="s">
        <v>172</v>
      </c>
      <c r="D44" s="25" t="s">
        <v>173</v>
      </c>
      <c r="E44" s="26" t="s">
        <v>168</v>
      </c>
      <c r="F44" s="25" t="s">
        <v>174</v>
      </c>
      <c r="G44" s="26" t="s">
        <v>34</v>
      </c>
      <c r="H44" s="28"/>
      <c r="I44" s="25">
        <v>0.0</v>
      </c>
      <c r="J44" s="29"/>
      <c r="K44" s="81"/>
      <c r="L44" s="34" t="s">
        <v>35</v>
      </c>
      <c r="M44" s="34" t="s">
        <v>35</v>
      </c>
      <c r="N44" s="34" t="s">
        <v>35</v>
      </c>
      <c r="O44" s="34" t="s">
        <v>35</v>
      </c>
      <c r="P44" s="32" t="s">
        <v>36</v>
      </c>
      <c r="Q44" s="34" t="s">
        <v>35</v>
      </c>
      <c r="R44" s="34" t="s">
        <v>35</v>
      </c>
      <c r="S44" s="34" t="s">
        <v>35</v>
      </c>
      <c r="T44" s="34" t="s">
        <v>35</v>
      </c>
      <c r="U44" s="35" t="s">
        <v>175</v>
      </c>
    </row>
    <row r="45">
      <c r="A45" s="36" t="s">
        <v>176</v>
      </c>
      <c r="B45" s="28" t="s">
        <v>39</v>
      </c>
      <c r="C45" s="27" t="s">
        <v>177</v>
      </c>
      <c r="D45" s="25" t="s">
        <v>178</v>
      </c>
      <c r="E45" s="26" t="s">
        <v>172</v>
      </c>
      <c r="F45" s="25" t="s">
        <v>173</v>
      </c>
      <c r="G45" s="27" t="s">
        <v>43</v>
      </c>
      <c r="H45" s="25" t="s">
        <v>179</v>
      </c>
      <c r="I45" s="25" t="s">
        <v>180</v>
      </c>
      <c r="J45" s="31" t="s">
        <v>128</v>
      </c>
      <c r="K45" s="30" t="s">
        <v>181</v>
      </c>
      <c r="L45" s="32" t="s">
        <v>130</v>
      </c>
      <c r="M45" s="32" t="s">
        <v>131</v>
      </c>
      <c r="N45" s="31">
        <f>ROUNDUP(DIVIDE(301989888, B6),0)</f>
        <v>168522</v>
      </c>
      <c r="O45" s="31">
        <f>ROUNDUP(DIVIDE(301989888, B7),0)</f>
        <v>107241</v>
      </c>
      <c r="P45" s="83">
        <v>107241.0</v>
      </c>
      <c r="Q45" s="37" t="s">
        <v>182</v>
      </c>
      <c r="R45" s="38">
        <v>2816.0</v>
      </c>
      <c r="S45" s="38">
        <v>1792.0</v>
      </c>
      <c r="T45" s="38">
        <f>ROUNDUP(DIVIDE(301989888, S45),0)+ROUNDUP(DIVIDE(301989888, R45),0)</f>
        <v>275763</v>
      </c>
      <c r="U45" s="39"/>
    </row>
    <row r="46">
      <c r="A46" s="39"/>
      <c r="B46" s="28" t="s">
        <v>51</v>
      </c>
      <c r="C46" s="27" t="s">
        <v>183</v>
      </c>
      <c r="D46" s="25" t="s">
        <v>178</v>
      </c>
      <c r="E46" s="27" t="s">
        <v>177</v>
      </c>
      <c r="F46" s="25" t="s">
        <v>178</v>
      </c>
      <c r="G46" s="27" t="s">
        <v>55</v>
      </c>
      <c r="H46" s="28" t="s">
        <v>184</v>
      </c>
      <c r="I46" s="25" t="s">
        <v>185</v>
      </c>
      <c r="J46" s="34">
        <v>373.0</v>
      </c>
      <c r="K46" s="40" t="s">
        <v>186</v>
      </c>
      <c r="L46" s="32">
        <v>187.0</v>
      </c>
      <c r="M46" s="32">
        <v>187.0</v>
      </c>
      <c r="N46" s="34" t="s">
        <v>35</v>
      </c>
      <c r="O46" s="34">
        <f>ROUNDUP(DIVIDE(524288, B7),0)</f>
        <v>187</v>
      </c>
      <c r="P46" s="32" t="s">
        <v>36</v>
      </c>
      <c r="Q46" s="37" t="s">
        <v>187</v>
      </c>
      <c r="R46" s="38">
        <v>2816.0</v>
      </c>
      <c r="S46" s="34" t="s">
        <v>35</v>
      </c>
      <c r="T46" s="38">
        <f>ROUNDUP(DIVIDE(524288, R46),0)</f>
        <v>187</v>
      </c>
      <c r="U46" s="39"/>
    </row>
    <row r="47">
      <c r="A47" s="41"/>
      <c r="B47" s="28" t="s">
        <v>60</v>
      </c>
      <c r="C47" s="27" t="s">
        <v>188</v>
      </c>
      <c r="D47" s="25" t="s">
        <v>178</v>
      </c>
      <c r="E47" s="27" t="s">
        <v>183</v>
      </c>
      <c r="F47" s="25" t="s">
        <v>178</v>
      </c>
      <c r="G47" s="27" t="s">
        <v>64</v>
      </c>
      <c r="H47" s="27">
        <v>0.0</v>
      </c>
      <c r="I47" s="28" t="s">
        <v>189</v>
      </c>
      <c r="J47" s="42">
        <v>0.0</v>
      </c>
      <c r="K47" s="43" t="s">
        <v>66</v>
      </c>
      <c r="L47" s="42">
        <v>0.0</v>
      </c>
      <c r="M47" s="42">
        <v>0.0</v>
      </c>
      <c r="N47" s="42" t="s">
        <v>35</v>
      </c>
      <c r="O47" s="42" t="s">
        <v>35</v>
      </c>
      <c r="P47" s="32" t="s">
        <v>36</v>
      </c>
      <c r="Q47" s="34" t="s">
        <v>35</v>
      </c>
      <c r="R47" s="34" t="s">
        <v>35</v>
      </c>
      <c r="S47" s="34" t="s">
        <v>35</v>
      </c>
      <c r="T47" s="42" t="s">
        <v>35</v>
      </c>
      <c r="U47" s="41"/>
    </row>
    <row r="48">
      <c r="A48" s="36" t="s">
        <v>190</v>
      </c>
      <c r="B48" s="27" t="s">
        <v>68</v>
      </c>
      <c r="C48" s="27" t="s">
        <v>191</v>
      </c>
      <c r="D48" s="25" t="s">
        <v>178</v>
      </c>
      <c r="E48" s="27" t="s">
        <v>188</v>
      </c>
      <c r="F48" s="25" t="s">
        <v>178</v>
      </c>
      <c r="G48" s="27" t="s">
        <v>71</v>
      </c>
      <c r="H48" s="25" t="s">
        <v>192</v>
      </c>
      <c r="I48" s="25" t="s">
        <v>193</v>
      </c>
      <c r="J48" s="34">
        <v>1171.0</v>
      </c>
      <c r="K48" s="45"/>
      <c r="L48" s="32">
        <v>1171.0</v>
      </c>
      <c r="M48" s="32">
        <v>293.0</v>
      </c>
      <c r="N48" s="34">
        <f>ROUNDUP(DIVIDE(524288, B6),0)</f>
        <v>293</v>
      </c>
      <c r="O48" s="34" t="s">
        <v>35</v>
      </c>
      <c r="P48" s="32" t="s">
        <v>36</v>
      </c>
      <c r="Q48" s="37" t="s">
        <v>194</v>
      </c>
      <c r="R48" s="34" t="s">
        <v>35</v>
      </c>
      <c r="S48" s="38">
        <v>1792.0</v>
      </c>
      <c r="T48" s="38">
        <f>ROUNDUP(DIVIDE(524288, S48),0)</f>
        <v>293</v>
      </c>
      <c r="U48" s="35" t="s">
        <v>75</v>
      </c>
      <c r="V48" s="95"/>
      <c r="W48" s="96"/>
      <c r="X48" s="97"/>
      <c r="Y48" s="95"/>
      <c r="Z48" s="98"/>
      <c r="AA48" s="5"/>
      <c r="AB48" s="99"/>
    </row>
    <row r="49">
      <c r="A49" s="41"/>
      <c r="B49" s="27" t="s">
        <v>76</v>
      </c>
      <c r="C49" s="27" t="s">
        <v>195</v>
      </c>
      <c r="D49" s="25" t="s">
        <v>178</v>
      </c>
      <c r="E49" s="27" t="s">
        <v>191</v>
      </c>
      <c r="F49" s="25" t="s">
        <v>178</v>
      </c>
      <c r="G49" s="27" t="s">
        <v>79</v>
      </c>
      <c r="H49" s="25" t="s">
        <v>196</v>
      </c>
      <c r="I49" s="25" t="s">
        <v>197</v>
      </c>
      <c r="J49" s="42">
        <v>373.0</v>
      </c>
      <c r="K49" s="46"/>
      <c r="L49" s="44">
        <v>187.0</v>
      </c>
      <c r="M49" s="44">
        <v>187.0</v>
      </c>
      <c r="N49" s="42" t="s">
        <v>35</v>
      </c>
      <c r="O49" s="42">
        <f>ROUNDUP(DIVIDE(524288, B7),0)</f>
        <v>187</v>
      </c>
      <c r="P49" s="32" t="s">
        <v>36</v>
      </c>
      <c r="Q49" s="37" t="s">
        <v>198</v>
      </c>
      <c r="R49" s="38">
        <v>2816.0</v>
      </c>
      <c r="S49" s="34" t="s">
        <v>35</v>
      </c>
      <c r="T49" s="38">
        <f>ROUNDUP(DIVIDE(524288, R49),0)</f>
        <v>187</v>
      </c>
      <c r="U49" s="41"/>
    </row>
    <row r="50">
      <c r="A50" s="17" t="s">
        <v>199</v>
      </c>
      <c r="B50" s="27" t="s">
        <v>84</v>
      </c>
      <c r="C50" s="27" t="s">
        <v>200</v>
      </c>
      <c r="D50" s="25" t="s">
        <v>201</v>
      </c>
      <c r="E50" s="27" t="s">
        <v>195</v>
      </c>
      <c r="F50" s="25" t="s">
        <v>178</v>
      </c>
      <c r="G50" s="27" t="s">
        <v>88</v>
      </c>
      <c r="H50" s="27" t="s">
        <v>88</v>
      </c>
      <c r="I50" s="25" t="s">
        <v>202</v>
      </c>
      <c r="J50" s="34">
        <v>280.0</v>
      </c>
      <c r="K50" s="40" t="s">
        <v>203</v>
      </c>
      <c r="L50" s="47">
        <v>140.0</v>
      </c>
      <c r="M50" s="47">
        <v>140.0</v>
      </c>
      <c r="N50" s="34" t="s">
        <v>35</v>
      </c>
      <c r="O50" s="34">
        <f>ROUNDUP(DIVIDE(393216, B7),0)</f>
        <v>140</v>
      </c>
      <c r="P50" s="32" t="s">
        <v>36</v>
      </c>
      <c r="Q50" s="37" t="s">
        <v>204</v>
      </c>
      <c r="R50" s="38">
        <v>2816.0</v>
      </c>
      <c r="S50" s="34" t="s">
        <v>35</v>
      </c>
      <c r="T50" s="38">
        <f>ROUNDUP(DIVIDE(393216, R50),0)</f>
        <v>140</v>
      </c>
      <c r="U50" s="48" t="s">
        <v>92</v>
      </c>
    </row>
    <row r="51">
      <c r="A51" s="85" t="s">
        <v>205</v>
      </c>
      <c r="B51" s="50" t="s">
        <v>94</v>
      </c>
      <c r="C51" s="50" t="s">
        <v>206</v>
      </c>
      <c r="D51" s="51" t="s">
        <v>207</v>
      </c>
      <c r="E51" s="50" t="s">
        <v>208</v>
      </c>
      <c r="F51" s="51" t="s">
        <v>207</v>
      </c>
      <c r="G51" s="52" t="s">
        <v>98</v>
      </c>
      <c r="H51" s="53" t="s">
        <v>209</v>
      </c>
      <c r="I51" s="54" t="s">
        <v>210</v>
      </c>
      <c r="J51" s="100">
        <v>293.0</v>
      </c>
      <c r="K51" s="56">
        <f>SUM(J51:J54)</f>
        <v>575</v>
      </c>
      <c r="L51" s="100">
        <v>293.0</v>
      </c>
      <c r="M51" s="47">
        <v>74.0</v>
      </c>
      <c r="N51" s="100">
        <f>ROUNDUP(DIVIDE(131072, B6),0)</f>
        <v>74</v>
      </c>
      <c r="O51" s="55" t="s">
        <v>35</v>
      </c>
      <c r="P51" s="32" t="s">
        <v>36</v>
      </c>
      <c r="Q51" s="82"/>
      <c r="R51" s="34" t="s">
        <v>35</v>
      </c>
      <c r="S51" s="38">
        <v>1792.0</v>
      </c>
      <c r="T51" s="38">
        <f>ROUNDUP(DIVIDE(131072, S51),0)</f>
        <v>74</v>
      </c>
      <c r="U51" s="35" t="s">
        <v>101</v>
      </c>
    </row>
    <row r="52">
      <c r="A52" s="39"/>
      <c r="B52" s="50" t="s">
        <v>102</v>
      </c>
      <c r="C52" s="59" t="s">
        <v>211</v>
      </c>
      <c r="D52" s="59" t="s">
        <v>207</v>
      </c>
      <c r="E52" s="59" t="s">
        <v>200</v>
      </c>
      <c r="F52" s="59" t="s">
        <v>207</v>
      </c>
      <c r="G52" s="59" t="s">
        <v>159</v>
      </c>
      <c r="H52" s="59" t="s">
        <v>207</v>
      </c>
      <c r="I52" s="59" t="s">
        <v>212</v>
      </c>
      <c r="J52" s="55">
        <v>94.0</v>
      </c>
      <c r="K52" s="39"/>
      <c r="L52" s="60">
        <v>47.0</v>
      </c>
      <c r="M52" s="60">
        <v>47.0</v>
      </c>
      <c r="N52" s="55" t="s">
        <v>35</v>
      </c>
      <c r="O52" s="55">
        <f>ROUNDUP(DIVIDE(131072, B7),0)</f>
        <v>47</v>
      </c>
      <c r="P52" s="32" t="s">
        <v>36</v>
      </c>
      <c r="Q52" s="82"/>
      <c r="R52" s="38">
        <v>2816.0</v>
      </c>
      <c r="S52" s="34" t="s">
        <v>35</v>
      </c>
      <c r="T52" s="38">
        <f t="shared" ref="T52:T54" si="4">ROUNDUP(DIVIDE(131072, R52),0)</f>
        <v>47</v>
      </c>
      <c r="U52" s="39"/>
    </row>
    <row r="53">
      <c r="A53" s="39"/>
      <c r="B53" s="59" t="s">
        <v>105</v>
      </c>
      <c r="C53" s="59" t="s">
        <v>208</v>
      </c>
      <c r="D53" s="59" t="s">
        <v>207</v>
      </c>
      <c r="E53" s="59" t="s">
        <v>211</v>
      </c>
      <c r="F53" s="59" t="s">
        <v>207</v>
      </c>
      <c r="G53" s="59" t="s">
        <v>166</v>
      </c>
      <c r="H53" s="59" t="s">
        <v>207</v>
      </c>
      <c r="I53" s="59" t="s">
        <v>213</v>
      </c>
      <c r="J53" s="50">
        <v>94.0</v>
      </c>
      <c r="K53" s="39"/>
      <c r="L53" s="60">
        <v>47.0</v>
      </c>
      <c r="M53" s="60">
        <v>47.0</v>
      </c>
      <c r="N53" s="55" t="s">
        <v>35</v>
      </c>
      <c r="O53" s="50">
        <f>ROUNDUP(DIVIDE(131072, B7),0)</f>
        <v>47</v>
      </c>
      <c r="P53" s="32" t="s">
        <v>36</v>
      </c>
      <c r="Q53" s="82"/>
      <c r="R53" s="38">
        <v>2816.0</v>
      </c>
      <c r="S53" s="34" t="s">
        <v>35</v>
      </c>
      <c r="T53" s="38">
        <f t="shared" si="4"/>
        <v>47</v>
      </c>
      <c r="U53" s="39"/>
    </row>
    <row r="54">
      <c r="A54" s="41"/>
      <c r="B54" s="59" t="s">
        <v>108</v>
      </c>
      <c r="C54" s="59" t="s">
        <v>214</v>
      </c>
      <c r="D54" s="59" t="s">
        <v>207</v>
      </c>
      <c r="E54" s="59" t="s">
        <v>208</v>
      </c>
      <c r="F54" s="59" t="s">
        <v>207</v>
      </c>
      <c r="G54" s="59" t="s">
        <v>169</v>
      </c>
      <c r="H54" s="59" t="s">
        <v>215</v>
      </c>
      <c r="I54" s="59" t="s">
        <v>216</v>
      </c>
      <c r="J54" s="55">
        <v>94.0</v>
      </c>
      <c r="K54" s="41"/>
      <c r="L54" s="60">
        <v>47.0</v>
      </c>
      <c r="M54" s="60">
        <v>47.0</v>
      </c>
      <c r="N54" s="55" t="s">
        <v>35</v>
      </c>
      <c r="O54" s="55">
        <f>ROUNDUP(DIVIDE(131072, B7),0)</f>
        <v>47</v>
      </c>
      <c r="P54" s="32" t="s">
        <v>36</v>
      </c>
      <c r="Q54" s="82"/>
      <c r="R54" s="38">
        <v>2816.0</v>
      </c>
      <c r="S54" s="34" t="s">
        <v>35</v>
      </c>
      <c r="T54" s="38">
        <f t="shared" si="4"/>
        <v>47</v>
      </c>
      <c r="U54" s="41"/>
    </row>
    <row r="55">
      <c r="A55" s="101"/>
      <c r="B55" s="101"/>
      <c r="C55" s="101"/>
      <c r="D55" s="102"/>
      <c r="E55" s="101"/>
      <c r="F55" s="101"/>
      <c r="G55" s="101"/>
      <c r="H55" s="101"/>
      <c r="I55" s="72"/>
      <c r="J55" s="103">
        <v>891153.0</v>
      </c>
      <c r="K55" s="58"/>
      <c r="L55" s="103">
        <v>783352.0</v>
      </c>
      <c r="M55" s="103">
        <v>276785.0</v>
      </c>
      <c r="N55" s="104">
        <f>SUM(N45,N48,N51)</f>
        <v>168889</v>
      </c>
      <c r="O55" s="104">
        <f>SUM(O45,O46,O49,O50,O52,O53,O54)</f>
        <v>107896</v>
      </c>
      <c r="P55" s="58"/>
      <c r="Q55" s="58"/>
      <c r="R55" s="58"/>
      <c r="S55" s="58"/>
      <c r="T55" s="70">
        <f>SUM(T44,T44:T54)</f>
        <v>276785</v>
      </c>
      <c r="U55" s="58"/>
      <c r="V55" s="58"/>
      <c r="W55" s="58"/>
      <c r="X55" s="58"/>
      <c r="Y55" s="58"/>
      <c r="Z55" s="58"/>
      <c r="AA55" s="58"/>
      <c r="AB55" s="58"/>
    </row>
    <row r="56">
      <c r="A56" s="101"/>
      <c r="B56" s="101"/>
      <c r="C56" s="101"/>
      <c r="D56" s="102"/>
      <c r="E56" s="101"/>
      <c r="F56" s="101"/>
      <c r="G56" s="101"/>
      <c r="H56" s="101"/>
      <c r="I56" s="72"/>
      <c r="J56" s="105"/>
      <c r="K56" s="58"/>
      <c r="L56" s="105"/>
      <c r="M56" s="105"/>
      <c r="N56" s="68">
        <f>SUM(N55,O55)</f>
        <v>276785</v>
      </c>
      <c r="O56" s="73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>
      <c r="A57" s="74" t="s">
        <v>217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75"/>
      <c r="B58" s="76" t="s">
        <v>8</v>
      </c>
      <c r="C58" s="77" t="s">
        <v>9</v>
      </c>
      <c r="D58" s="77" t="s">
        <v>10</v>
      </c>
      <c r="E58" s="78" t="s">
        <v>11</v>
      </c>
      <c r="F58" s="78" t="s">
        <v>12</v>
      </c>
      <c r="G58" s="78" t="s">
        <v>13</v>
      </c>
      <c r="H58" s="78" t="s">
        <v>14</v>
      </c>
      <c r="I58" s="76" t="s">
        <v>15</v>
      </c>
      <c r="J58" s="106" t="s">
        <v>115</v>
      </c>
      <c r="K58" s="21" t="s">
        <v>116</v>
      </c>
      <c r="L58" s="22" t="s">
        <v>18</v>
      </c>
      <c r="M58" s="22" t="s">
        <v>19</v>
      </c>
      <c r="N58" s="20" t="s">
        <v>20</v>
      </c>
      <c r="O58" s="20" t="s">
        <v>21</v>
      </c>
      <c r="P58" s="22" t="s">
        <v>22</v>
      </c>
      <c r="Q58" s="22" t="s">
        <v>23</v>
      </c>
      <c r="R58" s="22" t="s">
        <v>24</v>
      </c>
      <c r="S58" s="22" t="s">
        <v>25</v>
      </c>
      <c r="T58" s="22" t="s">
        <v>26</v>
      </c>
      <c r="U58" s="22" t="s">
        <v>27</v>
      </c>
      <c r="V58" s="58"/>
      <c r="W58" s="58"/>
      <c r="X58" s="58"/>
      <c r="Y58" s="58"/>
      <c r="Z58" s="58"/>
      <c r="AA58" s="58"/>
      <c r="AB58" s="58"/>
    </row>
    <row r="59">
      <c r="A59" s="24" t="s">
        <v>218</v>
      </c>
      <c r="B59" s="107" t="s">
        <v>219</v>
      </c>
      <c r="C59" s="107" t="s">
        <v>220</v>
      </c>
      <c r="D59" s="108" t="s">
        <v>221</v>
      </c>
      <c r="E59" s="109" t="s">
        <v>214</v>
      </c>
      <c r="F59" s="108" t="s">
        <v>222</v>
      </c>
      <c r="G59" s="110" t="s">
        <v>64</v>
      </c>
      <c r="H59" s="110">
        <v>0.0</v>
      </c>
      <c r="I59" s="108" t="s">
        <v>223</v>
      </c>
      <c r="J59" s="38">
        <v>128.0</v>
      </c>
      <c r="K59" s="111" t="s">
        <v>224</v>
      </c>
      <c r="L59" s="38" t="s">
        <v>225</v>
      </c>
      <c r="M59" s="48">
        <v>64.0</v>
      </c>
      <c r="N59" s="34" t="s">
        <v>35</v>
      </c>
      <c r="O59" s="48">
        <f>ROUNDUP(DIVIDE(128, CEILING(DIVIDE(B7,21),1)),0)</f>
        <v>1</v>
      </c>
      <c r="P59" s="48">
        <v>1.0</v>
      </c>
      <c r="Q59" s="37" t="s">
        <v>226</v>
      </c>
      <c r="R59" s="38">
        <v>2816.0</v>
      </c>
      <c r="S59" s="34" t="s">
        <v>35</v>
      </c>
      <c r="T59" s="38">
        <f>ROUNDUP(DIVIDE(128, CEILING(DIVIDE(R59,43),1)),0)</f>
        <v>2</v>
      </c>
      <c r="U59" s="48" t="s">
        <v>227</v>
      </c>
      <c r="V59" s="112"/>
      <c r="W59" s="112"/>
      <c r="X59" s="112"/>
      <c r="Y59" s="112"/>
      <c r="Z59" s="112"/>
      <c r="AA59" s="112"/>
      <c r="AB59" s="112"/>
    </row>
    <row r="60">
      <c r="A60" s="113"/>
      <c r="B60" s="114"/>
      <c r="C60" s="114"/>
      <c r="D60" s="114"/>
      <c r="E60" s="114"/>
      <c r="G60" s="114"/>
      <c r="H60" s="114"/>
      <c r="I60" s="115"/>
      <c r="J60" s="116">
        <v>128.0</v>
      </c>
      <c r="K60" s="117"/>
      <c r="L60" s="116">
        <v>64.0</v>
      </c>
      <c r="M60" s="116">
        <v>64.0</v>
      </c>
      <c r="N60" s="118">
        <f>SUM(N59,O59)</f>
        <v>1</v>
      </c>
      <c r="Q60" s="119"/>
      <c r="R60" s="119"/>
      <c r="S60" s="119"/>
      <c r="T60" s="70">
        <f>SUM(T59)</f>
        <v>2</v>
      </c>
    </row>
    <row r="61">
      <c r="A61" s="74" t="s">
        <v>228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20"/>
      <c r="B62" s="121" t="s">
        <v>8</v>
      </c>
      <c r="C62" s="122" t="s">
        <v>9</v>
      </c>
      <c r="D62" s="122" t="s">
        <v>10</v>
      </c>
      <c r="E62" s="123" t="s">
        <v>11</v>
      </c>
      <c r="F62" s="123" t="s">
        <v>10</v>
      </c>
      <c r="G62" s="123" t="s">
        <v>13</v>
      </c>
      <c r="H62" s="123" t="s">
        <v>10</v>
      </c>
      <c r="I62" s="121" t="s">
        <v>15</v>
      </c>
      <c r="J62" s="80" t="s">
        <v>115</v>
      </c>
      <c r="K62" s="93" t="s">
        <v>116</v>
      </c>
      <c r="L62" s="94" t="s">
        <v>18</v>
      </c>
      <c r="M62" s="94" t="s">
        <v>19</v>
      </c>
      <c r="N62" s="20" t="s">
        <v>20</v>
      </c>
      <c r="O62" s="20" t="s">
        <v>21</v>
      </c>
      <c r="P62" s="94" t="s">
        <v>22</v>
      </c>
      <c r="Q62" s="22" t="s">
        <v>23</v>
      </c>
      <c r="R62" s="22" t="s">
        <v>24</v>
      </c>
      <c r="S62" s="22" t="s">
        <v>25</v>
      </c>
      <c r="T62" s="22" t="s">
        <v>26</v>
      </c>
      <c r="U62" s="22" t="s">
        <v>27</v>
      </c>
    </row>
    <row r="63">
      <c r="A63" s="124" t="s">
        <v>229</v>
      </c>
      <c r="B63" s="125" t="s">
        <v>39</v>
      </c>
      <c r="C63" s="125" t="s">
        <v>230</v>
      </c>
      <c r="D63" s="84" t="s">
        <v>231</v>
      </c>
      <c r="E63" s="125" t="s">
        <v>220</v>
      </c>
      <c r="F63" s="125" t="s">
        <v>232</v>
      </c>
      <c r="G63" s="125" t="s">
        <v>233</v>
      </c>
      <c r="H63" s="125" t="s">
        <v>234</v>
      </c>
      <c r="I63" s="125" t="s">
        <v>235</v>
      </c>
      <c r="J63" s="126" t="s">
        <v>236</v>
      </c>
      <c r="K63" s="127" t="s">
        <v>237</v>
      </c>
      <c r="L63" s="128">
        <v>86815.0</v>
      </c>
      <c r="M63" s="128">
        <v>30641.0</v>
      </c>
      <c r="N63" s="128">
        <f>ROUNDUP(DIVIDE(33554432, B6),0)</f>
        <v>18725</v>
      </c>
      <c r="O63" s="128">
        <f>ROUNDUP(DIVIDE(33554432, B7),0)</f>
        <v>11916</v>
      </c>
      <c r="P63" s="32" t="s">
        <v>36</v>
      </c>
      <c r="Q63" s="129"/>
      <c r="R63" s="38">
        <v>2816.0</v>
      </c>
      <c r="S63" s="38">
        <v>1792.0</v>
      </c>
      <c r="T63" s="38">
        <f>ROUNDUP(DIVIDE(33554432, S63),0)+ROUNDUP(DIVIDE(33554432, R63),0)</f>
        <v>30641</v>
      </c>
      <c r="U63" s="129"/>
    </row>
    <row r="64">
      <c r="A64" s="39"/>
      <c r="B64" s="27" t="s">
        <v>51</v>
      </c>
      <c r="C64" s="125" t="s">
        <v>238</v>
      </c>
      <c r="D64" s="84" t="s">
        <v>231</v>
      </c>
      <c r="E64" s="125" t="s">
        <v>230</v>
      </c>
      <c r="F64" s="84" t="s">
        <v>231</v>
      </c>
      <c r="G64" s="125" t="s">
        <v>239</v>
      </c>
      <c r="H64" s="125" t="s">
        <v>231</v>
      </c>
      <c r="I64" s="125">
        <v>256.0</v>
      </c>
      <c r="J64" s="126" t="s">
        <v>240</v>
      </c>
      <c r="K64" s="127" t="s">
        <v>241</v>
      </c>
      <c r="L64" s="130">
        <v>1.0</v>
      </c>
      <c r="M64" s="130">
        <v>1.0</v>
      </c>
      <c r="N64" s="34" t="s">
        <v>35</v>
      </c>
      <c r="O64" s="130">
        <f>ROUNDUP(DIVIDE(256, B7),0)</f>
        <v>1</v>
      </c>
      <c r="P64" s="32" t="s">
        <v>36</v>
      </c>
      <c r="Q64" s="129"/>
      <c r="R64" s="38">
        <v>2816.0</v>
      </c>
      <c r="S64" s="34" t="s">
        <v>35</v>
      </c>
      <c r="T64" s="38">
        <f>ROUNDUP(DIVIDE(256, R64),0)</f>
        <v>1</v>
      </c>
      <c r="U64" s="129"/>
    </row>
    <row r="65">
      <c r="A65" s="41"/>
      <c r="B65" s="131" t="s">
        <v>242</v>
      </c>
      <c r="C65" s="125" t="s">
        <v>243</v>
      </c>
      <c r="D65" s="84" t="s">
        <v>231</v>
      </c>
      <c r="E65" s="125" t="s">
        <v>238</v>
      </c>
      <c r="F65" s="84" t="s">
        <v>231</v>
      </c>
      <c r="G65" s="132"/>
      <c r="H65" s="125"/>
      <c r="I65" s="133"/>
      <c r="J65" s="134"/>
      <c r="K65" s="135"/>
      <c r="L65" s="136"/>
      <c r="M65" s="136"/>
      <c r="N65" s="34" t="s">
        <v>35</v>
      </c>
      <c r="O65" s="34" t="s">
        <v>35</v>
      </c>
      <c r="P65" s="32" t="s">
        <v>36</v>
      </c>
      <c r="Q65" s="129"/>
      <c r="R65" s="34" t="s">
        <v>35</v>
      </c>
      <c r="S65" s="34" t="s">
        <v>35</v>
      </c>
      <c r="T65" s="34" t="s">
        <v>35</v>
      </c>
      <c r="U65" s="129"/>
    </row>
    <row r="66">
      <c r="A66" s="124" t="s">
        <v>244</v>
      </c>
      <c r="B66" s="27" t="s">
        <v>245</v>
      </c>
      <c r="C66" s="125" t="s">
        <v>246</v>
      </c>
      <c r="D66" s="125" t="s">
        <v>247</v>
      </c>
      <c r="E66" s="125" t="s">
        <v>243</v>
      </c>
      <c r="F66" s="84" t="s">
        <v>248</v>
      </c>
      <c r="G66" s="125" t="s">
        <v>249</v>
      </c>
      <c r="H66" s="125" t="s">
        <v>250</v>
      </c>
      <c r="I66" s="125" t="s">
        <v>251</v>
      </c>
      <c r="J66" s="126" t="s">
        <v>252</v>
      </c>
      <c r="K66" s="127" t="s">
        <v>253</v>
      </c>
      <c r="L66" s="130">
        <v>4.0</v>
      </c>
      <c r="M66" s="130">
        <v>2.0</v>
      </c>
      <c r="N66" s="130">
        <f>ROUNDUP(DIVIDE(1024, B6),0)</f>
        <v>1</v>
      </c>
      <c r="O66" s="34">
        <f>ROUNDUP(DIVIDE(1024, B7),0)</f>
        <v>1</v>
      </c>
      <c r="P66" s="32" t="s">
        <v>36</v>
      </c>
      <c r="Q66" s="129"/>
      <c r="R66" s="38">
        <v>2816.0</v>
      </c>
      <c r="S66" s="38">
        <v>1792.0</v>
      </c>
      <c r="T66" s="38">
        <f>ROUNDUP(DIVIDE(1024, S66),0)+ROUNDUP(DIVIDE(1024, R66),0)</f>
        <v>2</v>
      </c>
      <c r="U66" s="129"/>
    </row>
    <row r="67">
      <c r="A67" s="39"/>
      <c r="B67" s="27" t="s">
        <v>51</v>
      </c>
      <c r="C67" s="125" t="s">
        <v>254</v>
      </c>
      <c r="D67" s="125" t="s">
        <v>247</v>
      </c>
      <c r="E67" s="125" t="s">
        <v>246</v>
      </c>
      <c r="F67" s="125" t="s">
        <v>255</v>
      </c>
      <c r="G67" s="125" t="s">
        <v>256</v>
      </c>
      <c r="H67" s="125" t="s">
        <v>247</v>
      </c>
      <c r="I67" s="125">
        <v>4.0</v>
      </c>
      <c r="J67" s="126" t="s">
        <v>257</v>
      </c>
      <c r="K67" s="127" t="s">
        <v>258</v>
      </c>
      <c r="L67" s="130">
        <v>1.0</v>
      </c>
      <c r="M67" s="137">
        <v>1.0</v>
      </c>
      <c r="N67" s="34" t="s">
        <v>35</v>
      </c>
      <c r="O67" s="137">
        <f>ROUNDUP(DIVIDE(4, B7),0)</f>
        <v>1</v>
      </c>
      <c r="P67" s="32" t="s">
        <v>36</v>
      </c>
      <c r="Q67" s="129"/>
      <c r="R67" s="38">
        <v>2816.0</v>
      </c>
      <c r="S67" s="34" t="s">
        <v>35</v>
      </c>
      <c r="T67" s="38">
        <f>ROUNDUP(DIVIDE(4, R67),0)</f>
        <v>1</v>
      </c>
      <c r="U67" s="129"/>
    </row>
    <row r="68">
      <c r="A68" s="41"/>
      <c r="B68" s="131" t="s">
        <v>242</v>
      </c>
      <c r="C68" s="125" t="s">
        <v>259</v>
      </c>
      <c r="D68" s="125" t="s">
        <v>260</v>
      </c>
      <c r="E68" s="125" t="s">
        <v>254</v>
      </c>
      <c r="F68" s="125" t="s">
        <v>247</v>
      </c>
      <c r="G68" s="132"/>
      <c r="H68" s="132"/>
      <c r="I68" s="133"/>
      <c r="J68" s="138"/>
      <c r="K68" s="135"/>
      <c r="L68" s="136"/>
      <c r="M68" s="136"/>
      <c r="N68" s="34" t="s">
        <v>35</v>
      </c>
      <c r="O68" s="34" t="s">
        <v>35</v>
      </c>
      <c r="P68" s="32" t="s">
        <v>36</v>
      </c>
      <c r="Q68" s="129"/>
      <c r="R68" s="34" t="s">
        <v>35</v>
      </c>
      <c r="S68" s="34" t="s">
        <v>35</v>
      </c>
      <c r="T68" s="34" t="s">
        <v>35</v>
      </c>
      <c r="U68" s="129"/>
    </row>
    <row r="69">
      <c r="A69" s="139"/>
      <c r="B69" s="140"/>
      <c r="C69" s="140"/>
      <c r="D69" s="140"/>
      <c r="E69" s="140"/>
      <c r="F69" s="140"/>
      <c r="G69" s="140"/>
      <c r="H69" s="140"/>
      <c r="I69" s="141"/>
      <c r="J69" s="116">
        <v>98737.0</v>
      </c>
      <c r="K69" s="142"/>
      <c r="L69" s="116">
        <v>86821.0</v>
      </c>
      <c r="M69" s="116">
        <v>30645.0</v>
      </c>
      <c r="N69" s="118">
        <f>SUM(N63,N66)</f>
        <v>18726</v>
      </c>
      <c r="O69" s="118">
        <f>SUM(O63,O64,O66,O67)</f>
        <v>11919</v>
      </c>
      <c r="T69" s="70">
        <f>SUM(T63:T68)</f>
        <v>30645</v>
      </c>
    </row>
    <row r="70">
      <c r="A70" s="143"/>
      <c r="B70" s="144"/>
      <c r="C70" s="144"/>
      <c r="D70" s="144"/>
      <c r="E70" s="144"/>
      <c r="F70" s="144"/>
      <c r="G70" s="144"/>
      <c r="H70" s="144"/>
      <c r="I70" s="145"/>
      <c r="J70" s="146"/>
      <c r="K70" s="147"/>
      <c r="L70" s="148"/>
      <c r="M70" s="148"/>
      <c r="N70" s="68">
        <f>SUM(N69,O69)</f>
        <v>30645</v>
      </c>
      <c r="O70" s="73"/>
    </row>
    <row r="71">
      <c r="A71" s="149"/>
      <c r="B71" s="144"/>
      <c r="C71" s="144"/>
      <c r="D71" s="144"/>
      <c r="E71" s="144"/>
      <c r="F71" s="144"/>
      <c r="G71" s="144"/>
      <c r="H71" s="144"/>
      <c r="I71" s="150"/>
      <c r="J71" s="151" t="s">
        <v>261</v>
      </c>
      <c r="K71" s="152"/>
      <c r="L71" s="151" t="s">
        <v>261</v>
      </c>
      <c r="M71" s="153" t="s">
        <v>261</v>
      </c>
      <c r="N71" s="154" t="s">
        <v>261</v>
      </c>
      <c r="O71" s="92"/>
    </row>
    <row r="72">
      <c r="A72" s="155"/>
      <c r="B72" s="144"/>
      <c r="C72" s="144"/>
      <c r="D72" s="144"/>
      <c r="E72" s="144"/>
      <c r="F72" s="144"/>
      <c r="G72" s="144"/>
      <c r="H72" s="144"/>
      <c r="I72" s="150"/>
      <c r="J72" s="156">
        <v>2049328.0</v>
      </c>
      <c r="K72" s="146"/>
      <c r="L72" s="156">
        <v>1799907.0</v>
      </c>
      <c r="M72" s="157">
        <f>SUM(M25,M40,M55,M59,M69)</f>
        <v>637249</v>
      </c>
      <c r="N72" s="158">
        <f>SUM(N26,N41,N56,N60,N70)</f>
        <v>637186</v>
      </c>
      <c r="O72" s="92"/>
      <c r="T72" s="70" t="s">
        <v>262</v>
      </c>
    </row>
    <row r="73">
      <c r="A73" s="159"/>
      <c r="B73" s="144"/>
      <c r="C73" s="144"/>
      <c r="D73" s="144"/>
      <c r="E73" s="144"/>
      <c r="F73" s="144"/>
      <c r="G73" s="144"/>
      <c r="H73" s="144"/>
      <c r="I73" s="145"/>
      <c r="J73" s="58"/>
      <c r="K73" s="58"/>
      <c r="T73" s="70">
        <f>SUM(T69,T60,T55,T40,T25)</f>
        <v>637187</v>
      </c>
    </row>
    <row r="74">
      <c r="A74" s="160"/>
      <c r="B74" s="144"/>
      <c r="C74" s="144"/>
      <c r="D74" s="144"/>
      <c r="E74" s="144"/>
      <c r="F74" s="144"/>
      <c r="G74" s="144"/>
      <c r="H74" s="144"/>
      <c r="I74" s="145"/>
      <c r="J74" s="58"/>
      <c r="K74" s="58"/>
    </row>
    <row r="75">
      <c r="A75" s="149"/>
      <c r="B75" s="144"/>
      <c r="C75" s="144"/>
      <c r="D75" s="144"/>
      <c r="E75" s="144"/>
      <c r="F75" s="144"/>
      <c r="G75" s="144"/>
      <c r="H75" s="144"/>
      <c r="I75" s="145"/>
      <c r="J75" s="58"/>
      <c r="K75" s="58"/>
    </row>
    <row r="76">
      <c r="A76" s="159"/>
      <c r="B76" s="144"/>
      <c r="C76" s="144"/>
      <c r="D76" s="144"/>
      <c r="E76" s="144"/>
      <c r="F76" s="144"/>
      <c r="G76" s="144"/>
      <c r="H76" s="144"/>
      <c r="I76" s="145"/>
      <c r="J76" s="58"/>
      <c r="K76" s="58"/>
    </row>
    <row r="77">
      <c r="A77" s="161"/>
      <c r="B77" s="145"/>
      <c r="C77" s="145"/>
      <c r="D77" s="145"/>
      <c r="E77" s="145"/>
      <c r="F77" s="145"/>
      <c r="G77" s="145"/>
      <c r="H77" s="145"/>
      <c r="I77" s="145"/>
      <c r="J77" s="58"/>
      <c r="K77" s="58"/>
    </row>
    <row r="78">
      <c r="A78" s="161"/>
      <c r="B78" s="145"/>
      <c r="C78" s="162"/>
      <c r="D78" s="163"/>
      <c r="E78" s="164"/>
      <c r="F78" s="145"/>
      <c r="G78" s="145"/>
      <c r="H78" s="145"/>
      <c r="I78" s="145"/>
      <c r="J78" s="58"/>
      <c r="K78" s="58"/>
    </row>
    <row r="79">
      <c r="A79" s="161"/>
      <c r="B79" s="145"/>
      <c r="C79" s="165"/>
      <c r="D79" s="166"/>
      <c r="E79" s="167"/>
      <c r="F79" s="145"/>
      <c r="G79" s="145"/>
      <c r="H79" s="145"/>
      <c r="I79" s="145"/>
      <c r="J79" s="58"/>
      <c r="K79" s="58"/>
    </row>
    <row r="80">
      <c r="A80" s="161"/>
      <c r="B80" s="145"/>
      <c r="C80" s="145"/>
      <c r="D80" s="145"/>
      <c r="E80" s="145"/>
      <c r="F80" s="145"/>
      <c r="G80" s="145"/>
      <c r="H80" s="145"/>
      <c r="I80" s="145"/>
      <c r="J80" s="58"/>
      <c r="K80" s="58"/>
    </row>
    <row r="81">
      <c r="A81" s="160"/>
      <c r="B81" s="144"/>
      <c r="C81" s="144"/>
      <c r="D81" s="144"/>
      <c r="E81" s="144"/>
      <c r="F81" s="144"/>
      <c r="G81" s="144"/>
      <c r="H81" s="144"/>
      <c r="I81" s="145"/>
      <c r="J81" s="58"/>
      <c r="K81" s="58"/>
    </row>
    <row r="82">
      <c r="A82" s="149"/>
      <c r="B82" s="144"/>
      <c r="C82" s="144"/>
      <c r="D82" s="144"/>
      <c r="E82" s="144"/>
      <c r="F82" s="144"/>
      <c r="G82" s="144"/>
      <c r="H82" s="144"/>
      <c r="I82" s="145"/>
      <c r="J82" s="58"/>
      <c r="K82" s="58"/>
    </row>
    <row r="83">
      <c r="A83" s="155"/>
      <c r="B83" s="144"/>
      <c r="C83" s="144"/>
      <c r="D83" s="144"/>
      <c r="E83" s="144"/>
      <c r="F83" s="144"/>
      <c r="G83" s="144"/>
      <c r="H83" s="144"/>
      <c r="I83" s="145"/>
      <c r="J83" s="58"/>
      <c r="K83" s="58"/>
    </row>
    <row r="84">
      <c r="A84" s="159"/>
      <c r="B84" s="144"/>
      <c r="C84" s="144"/>
      <c r="D84" s="144"/>
      <c r="E84" s="144"/>
      <c r="F84" s="144"/>
      <c r="G84" s="144"/>
      <c r="H84" s="144"/>
      <c r="I84" s="145"/>
      <c r="J84" s="58"/>
      <c r="K84" s="58"/>
    </row>
    <row r="85">
      <c r="A85" s="160"/>
      <c r="B85" s="144"/>
      <c r="C85" s="144"/>
      <c r="D85" s="144"/>
      <c r="E85" s="144"/>
      <c r="F85" s="144"/>
      <c r="G85" s="144"/>
      <c r="H85" s="144"/>
      <c r="I85" s="145"/>
      <c r="J85" s="58"/>
      <c r="K85" s="58"/>
    </row>
    <row r="86">
      <c r="A86" s="149"/>
      <c r="B86" s="144"/>
      <c r="C86" s="144"/>
      <c r="D86" s="144"/>
      <c r="E86" s="144"/>
      <c r="F86" s="144"/>
      <c r="G86" s="144"/>
      <c r="H86" s="144"/>
      <c r="I86" s="145"/>
      <c r="J86" s="58"/>
      <c r="K86" s="58"/>
    </row>
    <row r="87">
      <c r="A87" s="159"/>
      <c r="B87" s="144"/>
      <c r="C87" s="144"/>
      <c r="D87" s="144"/>
      <c r="E87" s="144"/>
      <c r="F87" s="144"/>
      <c r="G87" s="144"/>
      <c r="H87" s="144"/>
      <c r="I87" s="145"/>
      <c r="J87" s="58"/>
      <c r="K87" s="58"/>
    </row>
    <row r="88">
      <c r="A88" s="160"/>
      <c r="B88" s="144"/>
      <c r="C88" s="144"/>
      <c r="D88" s="144"/>
      <c r="E88" s="144"/>
      <c r="F88" s="144"/>
      <c r="G88" s="144"/>
      <c r="H88" s="144"/>
      <c r="I88" s="145"/>
      <c r="J88" s="58"/>
      <c r="K88" s="58"/>
    </row>
    <row r="89">
      <c r="A89" s="149"/>
      <c r="B89" s="144"/>
      <c r="C89" s="144"/>
      <c r="D89" s="144"/>
      <c r="E89" s="144"/>
      <c r="F89" s="144"/>
      <c r="G89" s="144"/>
      <c r="H89" s="144"/>
      <c r="I89" s="145"/>
      <c r="J89" s="58"/>
      <c r="K89" s="58"/>
    </row>
    <row r="90">
      <c r="A90" s="155"/>
      <c r="B90" s="144"/>
      <c r="C90" s="144"/>
      <c r="D90" s="144"/>
      <c r="E90" s="144"/>
      <c r="F90" s="144"/>
      <c r="G90" s="144"/>
      <c r="H90" s="144"/>
      <c r="I90" s="145"/>
      <c r="J90" s="58"/>
      <c r="K90" s="58"/>
    </row>
    <row r="91">
      <c r="A91" s="159"/>
      <c r="B91" s="144"/>
      <c r="C91" s="144"/>
      <c r="D91" s="144"/>
      <c r="E91" s="144"/>
      <c r="F91" s="144"/>
      <c r="G91" s="144"/>
      <c r="H91" s="144"/>
      <c r="I91" s="145"/>
      <c r="J91" s="58"/>
      <c r="K91" s="58"/>
    </row>
    <row r="92">
      <c r="A92" s="149"/>
      <c r="B92" s="144"/>
      <c r="C92" s="144"/>
      <c r="D92" s="144"/>
      <c r="E92" s="144"/>
      <c r="F92" s="144"/>
      <c r="G92" s="144"/>
      <c r="H92" s="144"/>
      <c r="I92" s="145"/>
      <c r="J92" s="58"/>
      <c r="K92" s="58"/>
    </row>
    <row r="93">
      <c r="A93" s="155"/>
      <c r="B93" s="144"/>
      <c r="C93" s="144"/>
      <c r="D93" s="144"/>
      <c r="E93" s="144"/>
      <c r="F93" s="144"/>
      <c r="G93" s="144"/>
      <c r="H93" s="144"/>
      <c r="I93" s="145"/>
      <c r="J93" s="58"/>
      <c r="K93" s="58"/>
    </row>
    <row r="94">
      <c r="A94" s="159"/>
      <c r="B94" s="144"/>
      <c r="C94" s="144"/>
      <c r="D94" s="144"/>
      <c r="E94" s="144"/>
      <c r="F94" s="144"/>
      <c r="G94" s="144"/>
      <c r="H94" s="144"/>
      <c r="I94" s="145"/>
      <c r="J94" s="58"/>
      <c r="K94" s="58"/>
    </row>
    <row r="95">
      <c r="A95" s="161"/>
      <c r="B95" s="145"/>
      <c r="C95" s="145"/>
      <c r="D95" s="145"/>
      <c r="E95" s="145"/>
      <c r="F95" s="145"/>
      <c r="G95" s="145"/>
      <c r="H95" s="145"/>
      <c r="I95" s="145"/>
      <c r="J95" s="58"/>
      <c r="K95" s="58"/>
    </row>
    <row r="96">
      <c r="A96" s="161"/>
      <c r="B96" s="145"/>
      <c r="C96" s="145"/>
      <c r="D96" s="145"/>
      <c r="E96" s="145"/>
      <c r="F96" s="145"/>
      <c r="G96" s="145"/>
      <c r="H96" s="145"/>
      <c r="I96" s="145"/>
      <c r="J96" s="58"/>
      <c r="K96" s="58"/>
    </row>
    <row r="97">
      <c r="A97" s="161"/>
      <c r="B97" s="145"/>
      <c r="C97" s="145"/>
      <c r="D97" s="145"/>
      <c r="E97" s="145"/>
      <c r="F97" s="145"/>
      <c r="G97" s="145"/>
      <c r="H97" s="145"/>
      <c r="I97" s="145"/>
      <c r="J97" s="58"/>
      <c r="K97" s="58"/>
    </row>
    <row r="98">
      <c r="A98" s="168"/>
      <c r="B98" s="169"/>
      <c r="C98" s="169"/>
      <c r="D98" s="169"/>
      <c r="E98" s="169"/>
      <c r="F98" s="169"/>
      <c r="G98" s="169"/>
      <c r="H98" s="169"/>
      <c r="I98" s="169"/>
      <c r="J98" s="58"/>
      <c r="K98" s="58"/>
    </row>
    <row r="99">
      <c r="A99" s="168"/>
      <c r="B99" s="169"/>
      <c r="C99" s="169"/>
      <c r="D99" s="169"/>
      <c r="E99" s="169"/>
      <c r="F99" s="169"/>
      <c r="G99" s="169"/>
      <c r="H99" s="169"/>
      <c r="I99" s="169"/>
      <c r="J99" s="58"/>
      <c r="K99" s="58"/>
    </row>
    <row r="100">
      <c r="A100" s="168"/>
      <c r="B100" s="169"/>
      <c r="C100" s="169"/>
      <c r="D100" s="169"/>
      <c r="E100" s="169"/>
      <c r="F100" s="169"/>
      <c r="G100" s="169"/>
      <c r="H100" s="169"/>
      <c r="I100" s="169"/>
      <c r="J100" s="58"/>
      <c r="K100" s="58"/>
    </row>
    <row r="101">
      <c r="A101" s="168"/>
      <c r="B101" s="169"/>
      <c r="C101" s="169"/>
      <c r="D101" s="169"/>
      <c r="E101" s="169"/>
      <c r="F101" s="169"/>
      <c r="G101" s="169"/>
      <c r="H101" s="169"/>
      <c r="I101" s="169"/>
      <c r="J101" s="58"/>
      <c r="K101" s="58"/>
    </row>
    <row r="102">
      <c r="A102" s="168"/>
      <c r="B102" s="169"/>
      <c r="C102" s="169"/>
      <c r="D102" s="169"/>
      <c r="E102" s="169"/>
      <c r="F102" s="169"/>
      <c r="G102" s="169"/>
      <c r="H102" s="169"/>
      <c r="I102" s="169"/>
      <c r="J102" s="58"/>
      <c r="K102" s="58"/>
    </row>
    <row r="103">
      <c r="A103" s="170"/>
      <c r="J103" s="58"/>
      <c r="K103" s="58"/>
    </row>
    <row r="104">
      <c r="A104" s="170"/>
      <c r="J104" s="58"/>
      <c r="K104" s="58"/>
    </row>
    <row r="105">
      <c r="A105" s="170"/>
      <c r="J105" s="58"/>
      <c r="K105" s="58"/>
    </row>
    <row r="106">
      <c r="A106" s="170"/>
      <c r="J106" s="58"/>
      <c r="K106" s="58"/>
    </row>
    <row r="107">
      <c r="A107" s="170"/>
      <c r="J107" s="58"/>
      <c r="K107" s="58"/>
    </row>
    <row r="108">
      <c r="A108" s="170"/>
      <c r="J108" s="58"/>
      <c r="K108" s="58"/>
    </row>
    <row r="109">
      <c r="A109" s="170"/>
      <c r="J109" s="58"/>
      <c r="K109" s="58"/>
    </row>
    <row r="110">
      <c r="A110" s="170"/>
      <c r="J110" s="58"/>
      <c r="K110" s="58"/>
    </row>
    <row r="111">
      <c r="A111" s="170"/>
      <c r="J111" s="58"/>
      <c r="K111" s="58"/>
    </row>
    <row r="112">
      <c r="A112" s="170"/>
      <c r="J112" s="58"/>
      <c r="K112" s="58"/>
    </row>
    <row r="113">
      <c r="A113" s="170"/>
      <c r="J113" s="58"/>
      <c r="K113" s="58"/>
    </row>
    <row r="114">
      <c r="A114" s="170"/>
      <c r="J114" s="58"/>
      <c r="K114" s="58"/>
    </row>
    <row r="115">
      <c r="A115" s="170"/>
      <c r="J115" s="58"/>
      <c r="K115" s="58"/>
    </row>
    <row r="116">
      <c r="A116" s="170"/>
      <c r="J116" s="58"/>
      <c r="K116" s="58"/>
    </row>
    <row r="117">
      <c r="A117" s="170"/>
      <c r="J117" s="58"/>
      <c r="K117" s="58"/>
    </row>
    <row r="118">
      <c r="A118" s="170"/>
      <c r="J118" s="58"/>
      <c r="K118" s="58"/>
    </row>
    <row r="119">
      <c r="A119" s="170"/>
      <c r="J119" s="58"/>
      <c r="K119" s="58"/>
    </row>
    <row r="120">
      <c r="A120" s="170"/>
      <c r="J120" s="58"/>
      <c r="K120" s="58"/>
    </row>
    <row r="121">
      <c r="A121" s="170"/>
      <c r="J121" s="58"/>
      <c r="K121" s="58"/>
    </row>
    <row r="122">
      <c r="A122" s="170"/>
      <c r="J122" s="58"/>
      <c r="K122" s="58"/>
    </row>
    <row r="123">
      <c r="A123" s="170"/>
      <c r="J123" s="58"/>
      <c r="K123" s="58"/>
    </row>
    <row r="124">
      <c r="A124" s="170"/>
      <c r="J124" s="58"/>
      <c r="K124" s="58"/>
    </row>
    <row r="125">
      <c r="A125" s="170"/>
      <c r="J125" s="58"/>
      <c r="K125" s="58"/>
    </row>
    <row r="126">
      <c r="A126" s="170"/>
      <c r="J126" s="58"/>
      <c r="K126" s="58"/>
    </row>
    <row r="127">
      <c r="A127" s="170"/>
      <c r="J127" s="58"/>
      <c r="K127" s="58"/>
    </row>
    <row r="128">
      <c r="A128" s="170"/>
      <c r="J128" s="58"/>
      <c r="K128" s="58"/>
    </row>
    <row r="129">
      <c r="A129" s="170"/>
      <c r="J129" s="58"/>
      <c r="K129" s="58"/>
    </row>
    <row r="130">
      <c r="A130" s="170"/>
      <c r="J130" s="58"/>
      <c r="K130" s="58"/>
    </row>
    <row r="131">
      <c r="A131" s="170"/>
      <c r="J131" s="58"/>
      <c r="K131" s="58"/>
    </row>
    <row r="132">
      <c r="A132" s="170"/>
      <c r="J132" s="58"/>
      <c r="K132" s="58"/>
    </row>
    <row r="133">
      <c r="A133" s="170"/>
      <c r="J133" s="58"/>
      <c r="K133" s="58"/>
    </row>
    <row r="134">
      <c r="A134" s="170"/>
      <c r="J134" s="58"/>
      <c r="K134" s="58"/>
    </row>
    <row r="135">
      <c r="A135" s="170"/>
      <c r="J135" s="58"/>
      <c r="K135" s="58"/>
    </row>
    <row r="136">
      <c r="A136" s="170"/>
      <c r="J136" s="58"/>
      <c r="K136" s="58"/>
    </row>
    <row r="137">
      <c r="A137" s="170"/>
      <c r="J137" s="58"/>
      <c r="K137" s="58"/>
    </row>
    <row r="138">
      <c r="A138" s="170"/>
      <c r="J138" s="58"/>
      <c r="K138" s="58"/>
    </row>
    <row r="139">
      <c r="A139" s="170"/>
      <c r="J139" s="58"/>
      <c r="K139" s="58"/>
    </row>
    <row r="140">
      <c r="A140" s="170"/>
      <c r="J140" s="58"/>
      <c r="K140" s="58"/>
    </row>
    <row r="141">
      <c r="A141" s="170"/>
      <c r="J141" s="58"/>
      <c r="K141" s="58"/>
    </row>
    <row r="142">
      <c r="A142" s="170"/>
      <c r="J142" s="58"/>
      <c r="K142" s="58"/>
    </row>
    <row r="143">
      <c r="A143" s="170"/>
      <c r="J143" s="58"/>
      <c r="K143" s="58"/>
    </row>
    <row r="144">
      <c r="A144" s="170"/>
      <c r="J144" s="58"/>
      <c r="K144" s="58"/>
    </row>
    <row r="145">
      <c r="A145" s="170"/>
      <c r="J145" s="58"/>
      <c r="K145" s="58"/>
    </row>
    <row r="146">
      <c r="A146" s="170"/>
      <c r="J146" s="58"/>
      <c r="K146" s="58"/>
    </row>
    <row r="147">
      <c r="A147" s="170"/>
      <c r="J147" s="58"/>
      <c r="K147" s="58"/>
    </row>
    <row r="148">
      <c r="A148" s="170"/>
      <c r="J148" s="58"/>
      <c r="K148" s="58"/>
    </row>
    <row r="149">
      <c r="A149" s="170"/>
      <c r="J149" s="58"/>
      <c r="K149" s="58"/>
    </row>
    <row r="150">
      <c r="A150" s="170"/>
      <c r="J150" s="58"/>
      <c r="K150" s="58"/>
    </row>
    <row r="151">
      <c r="A151" s="170"/>
      <c r="J151" s="58"/>
      <c r="K151" s="58"/>
    </row>
    <row r="152">
      <c r="A152" s="170"/>
      <c r="J152" s="58"/>
      <c r="K152" s="58"/>
    </row>
    <row r="153">
      <c r="A153" s="170"/>
      <c r="J153" s="58"/>
      <c r="K153" s="58"/>
    </row>
    <row r="154">
      <c r="A154" s="170"/>
      <c r="J154" s="58"/>
      <c r="K154" s="58"/>
    </row>
    <row r="155">
      <c r="A155" s="170"/>
      <c r="J155" s="58"/>
      <c r="K155" s="58"/>
    </row>
    <row r="156">
      <c r="A156" s="170"/>
      <c r="J156" s="58"/>
      <c r="K156" s="58"/>
    </row>
    <row r="157">
      <c r="A157" s="170"/>
      <c r="J157" s="58"/>
      <c r="K157" s="58"/>
    </row>
    <row r="158">
      <c r="A158" s="170"/>
      <c r="J158" s="58"/>
      <c r="K158" s="58"/>
    </row>
    <row r="159">
      <c r="A159" s="170"/>
      <c r="J159" s="58"/>
      <c r="K159" s="58"/>
    </row>
    <row r="160">
      <c r="A160" s="170"/>
      <c r="J160" s="58"/>
      <c r="K160" s="58"/>
    </row>
    <row r="161">
      <c r="A161" s="170"/>
      <c r="J161" s="58"/>
      <c r="K161" s="58"/>
    </row>
    <row r="162">
      <c r="A162" s="170"/>
      <c r="J162" s="58"/>
      <c r="K162" s="58"/>
    </row>
    <row r="163">
      <c r="A163" s="170"/>
      <c r="J163" s="58"/>
      <c r="K163" s="58"/>
    </row>
    <row r="164">
      <c r="A164" s="170"/>
      <c r="J164" s="58"/>
      <c r="K164" s="58"/>
    </row>
    <row r="165">
      <c r="A165" s="170"/>
      <c r="J165" s="58"/>
      <c r="K165" s="58"/>
    </row>
    <row r="166">
      <c r="A166" s="170"/>
      <c r="J166" s="58"/>
      <c r="K166" s="58"/>
    </row>
    <row r="167">
      <c r="A167" s="170"/>
      <c r="J167" s="58"/>
      <c r="K167" s="58"/>
    </row>
    <row r="168">
      <c r="A168" s="170"/>
      <c r="J168" s="58"/>
      <c r="K168" s="58"/>
    </row>
    <row r="169">
      <c r="A169" s="170"/>
      <c r="J169" s="58"/>
      <c r="K169" s="58"/>
    </row>
    <row r="170">
      <c r="A170" s="170"/>
      <c r="J170" s="58"/>
      <c r="K170" s="58"/>
    </row>
    <row r="171">
      <c r="A171" s="170"/>
      <c r="J171" s="58"/>
      <c r="K171" s="58"/>
    </row>
    <row r="172">
      <c r="A172" s="170"/>
      <c r="J172" s="58"/>
      <c r="K172" s="58"/>
    </row>
    <row r="173">
      <c r="A173" s="170"/>
      <c r="J173" s="58"/>
      <c r="K173" s="58"/>
    </row>
    <row r="174">
      <c r="A174" s="170"/>
      <c r="J174" s="58"/>
      <c r="K174" s="58"/>
    </row>
    <row r="175">
      <c r="A175" s="170"/>
      <c r="J175" s="58"/>
      <c r="K175" s="58"/>
    </row>
    <row r="176">
      <c r="A176" s="170"/>
      <c r="J176" s="58"/>
      <c r="K176" s="58"/>
    </row>
    <row r="177">
      <c r="A177" s="170"/>
      <c r="J177" s="58"/>
      <c r="K177" s="58"/>
    </row>
    <row r="178">
      <c r="A178" s="170"/>
      <c r="J178" s="58"/>
      <c r="K178" s="58"/>
    </row>
    <row r="179">
      <c r="A179" s="170"/>
      <c r="J179" s="58"/>
      <c r="K179" s="58"/>
    </row>
    <row r="180">
      <c r="A180" s="170"/>
      <c r="J180" s="58"/>
      <c r="K180" s="58"/>
    </row>
    <row r="181">
      <c r="A181" s="170"/>
      <c r="J181" s="58"/>
      <c r="K181" s="58"/>
    </row>
    <row r="182">
      <c r="A182" s="170"/>
      <c r="J182" s="58"/>
      <c r="K182" s="58"/>
    </row>
    <row r="183">
      <c r="A183" s="170"/>
      <c r="J183" s="58"/>
      <c r="K183" s="58"/>
    </row>
    <row r="184">
      <c r="A184" s="170"/>
      <c r="J184" s="58"/>
      <c r="K184" s="58"/>
    </row>
    <row r="185">
      <c r="A185" s="170"/>
      <c r="J185" s="58"/>
      <c r="K185" s="58"/>
    </row>
    <row r="186">
      <c r="A186" s="170"/>
      <c r="J186" s="58"/>
      <c r="K186" s="58"/>
    </row>
    <row r="187">
      <c r="A187" s="170"/>
      <c r="J187" s="58"/>
      <c r="K187" s="58"/>
    </row>
    <row r="188">
      <c r="A188" s="170"/>
      <c r="J188" s="58"/>
      <c r="K188" s="58"/>
    </row>
    <row r="189">
      <c r="A189" s="170"/>
      <c r="J189" s="58"/>
      <c r="K189" s="58"/>
    </row>
    <row r="190">
      <c r="A190" s="170"/>
      <c r="J190" s="58"/>
      <c r="K190" s="58"/>
    </row>
    <row r="191">
      <c r="A191" s="170"/>
      <c r="J191" s="58"/>
      <c r="K191" s="58"/>
    </row>
    <row r="192">
      <c r="A192" s="170"/>
      <c r="J192" s="58"/>
      <c r="K192" s="58"/>
    </row>
    <row r="193">
      <c r="A193" s="170"/>
      <c r="J193" s="58"/>
      <c r="K193" s="58"/>
    </row>
    <row r="194">
      <c r="A194" s="170"/>
      <c r="J194" s="58"/>
      <c r="K194" s="58"/>
    </row>
    <row r="195">
      <c r="A195" s="170"/>
      <c r="J195" s="58"/>
      <c r="K195" s="58"/>
    </row>
    <row r="196">
      <c r="A196" s="170"/>
      <c r="J196" s="58"/>
      <c r="K196" s="58"/>
    </row>
    <row r="197">
      <c r="A197" s="170"/>
      <c r="J197" s="58"/>
      <c r="K197" s="58"/>
    </row>
    <row r="198">
      <c r="A198" s="170"/>
      <c r="J198" s="58"/>
      <c r="K198" s="58"/>
    </row>
    <row r="199">
      <c r="A199" s="170"/>
      <c r="J199" s="58"/>
      <c r="K199" s="58"/>
    </row>
    <row r="200">
      <c r="A200" s="170"/>
      <c r="J200" s="58"/>
      <c r="K200" s="58"/>
    </row>
    <row r="201">
      <c r="A201" s="170"/>
      <c r="J201" s="58"/>
      <c r="K201" s="58"/>
    </row>
    <row r="202">
      <c r="A202" s="170"/>
      <c r="J202" s="58"/>
      <c r="K202" s="58"/>
    </row>
    <row r="203">
      <c r="A203" s="170"/>
      <c r="J203" s="58"/>
      <c r="K203" s="58"/>
    </row>
    <row r="204">
      <c r="A204" s="170"/>
      <c r="J204" s="58"/>
      <c r="K204" s="58"/>
    </row>
    <row r="205">
      <c r="A205" s="170"/>
      <c r="J205" s="58"/>
      <c r="K205" s="58"/>
    </row>
    <row r="206">
      <c r="A206" s="170"/>
      <c r="J206" s="58"/>
      <c r="K206" s="58"/>
    </row>
    <row r="207">
      <c r="A207" s="170"/>
      <c r="J207" s="58"/>
      <c r="K207" s="58"/>
    </row>
    <row r="208">
      <c r="A208" s="170"/>
      <c r="J208" s="58"/>
      <c r="K208" s="58"/>
    </row>
    <row r="209">
      <c r="A209" s="170"/>
      <c r="J209" s="58"/>
      <c r="K209" s="58"/>
    </row>
    <row r="210">
      <c r="A210" s="170"/>
      <c r="J210" s="58"/>
      <c r="K210" s="58"/>
    </row>
    <row r="211">
      <c r="A211" s="170"/>
      <c r="J211" s="58"/>
      <c r="K211" s="58"/>
    </row>
    <row r="212">
      <c r="A212" s="170"/>
      <c r="J212" s="58"/>
      <c r="K212" s="58"/>
    </row>
    <row r="213">
      <c r="A213" s="170"/>
      <c r="J213" s="58"/>
      <c r="K213" s="58"/>
    </row>
    <row r="214">
      <c r="A214" s="170"/>
      <c r="J214" s="58"/>
      <c r="K214" s="58"/>
    </row>
    <row r="215">
      <c r="A215" s="170"/>
      <c r="J215" s="58"/>
      <c r="K215" s="58"/>
    </row>
    <row r="216">
      <c r="A216" s="170"/>
      <c r="J216" s="58"/>
      <c r="K216" s="58"/>
    </row>
    <row r="217">
      <c r="A217" s="170"/>
      <c r="J217" s="58"/>
      <c r="K217" s="58"/>
    </row>
    <row r="218">
      <c r="A218" s="170"/>
      <c r="J218" s="58"/>
      <c r="K218" s="58"/>
    </row>
    <row r="219">
      <c r="A219" s="170"/>
      <c r="J219" s="58"/>
      <c r="K219" s="58"/>
    </row>
    <row r="220">
      <c r="A220" s="170"/>
      <c r="J220" s="58"/>
      <c r="K220" s="58"/>
    </row>
    <row r="221">
      <c r="A221" s="170"/>
      <c r="J221" s="58"/>
      <c r="K221" s="58"/>
    </row>
    <row r="222">
      <c r="A222" s="170"/>
      <c r="J222" s="58"/>
      <c r="K222" s="58"/>
    </row>
    <row r="223">
      <c r="A223" s="170"/>
      <c r="J223" s="58"/>
      <c r="K223" s="58"/>
    </row>
    <row r="224">
      <c r="A224" s="170"/>
      <c r="J224" s="58"/>
      <c r="K224" s="58"/>
    </row>
    <row r="225">
      <c r="A225" s="170"/>
      <c r="J225" s="58"/>
      <c r="K225" s="58"/>
    </row>
    <row r="226">
      <c r="A226" s="170"/>
      <c r="J226" s="58"/>
      <c r="K226" s="58"/>
    </row>
    <row r="227">
      <c r="A227" s="170"/>
      <c r="J227" s="58"/>
      <c r="K227" s="58"/>
    </row>
    <row r="228">
      <c r="A228" s="170"/>
      <c r="J228" s="58"/>
      <c r="K228" s="58"/>
    </row>
    <row r="229">
      <c r="A229" s="170"/>
      <c r="J229" s="58"/>
      <c r="K229" s="58"/>
    </row>
    <row r="230">
      <c r="A230" s="170"/>
      <c r="J230" s="58"/>
      <c r="K230" s="58"/>
    </row>
    <row r="231">
      <c r="A231" s="170"/>
      <c r="J231" s="58"/>
      <c r="K231" s="58"/>
    </row>
    <row r="232">
      <c r="A232" s="170"/>
      <c r="J232" s="58"/>
      <c r="K232" s="58"/>
    </row>
    <row r="233">
      <c r="A233" s="170"/>
      <c r="J233" s="58"/>
      <c r="K233" s="58"/>
    </row>
    <row r="234">
      <c r="A234" s="170"/>
      <c r="J234" s="58"/>
      <c r="K234" s="58"/>
    </row>
    <row r="235">
      <c r="A235" s="170"/>
      <c r="J235" s="58"/>
      <c r="K235" s="58"/>
    </row>
    <row r="236">
      <c r="A236" s="170"/>
      <c r="J236" s="58"/>
      <c r="K236" s="58"/>
    </row>
    <row r="237">
      <c r="A237" s="170"/>
      <c r="J237" s="58"/>
      <c r="K237" s="58"/>
    </row>
    <row r="238">
      <c r="A238" s="170"/>
      <c r="J238" s="58"/>
      <c r="K238" s="58"/>
    </row>
    <row r="239">
      <c r="A239" s="170"/>
      <c r="J239" s="58"/>
      <c r="K239" s="58"/>
    </row>
    <row r="240">
      <c r="A240" s="170"/>
      <c r="J240" s="58"/>
      <c r="K240" s="58"/>
    </row>
    <row r="241">
      <c r="A241" s="170"/>
      <c r="J241" s="58"/>
      <c r="K241" s="58"/>
    </row>
    <row r="242">
      <c r="A242" s="170"/>
      <c r="J242" s="58"/>
      <c r="K242" s="58"/>
    </row>
    <row r="243">
      <c r="A243" s="170"/>
      <c r="J243" s="58"/>
      <c r="K243" s="58"/>
    </row>
    <row r="244">
      <c r="A244" s="170"/>
      <c r="J244" s="58"/>
      <c r="K244" s="58"/>
    </row>
    <row r="245">
      <c r="A245" s="170"/>
      <c r="J245" s="58"/>
      <c r="K245" s="58"/>
    </row>
    <row r="246">
      <c r="A246" s="170"/>
      <c r="J246" s="58"/>
      <c r="K246" s="58"/>
    </row>
    <row r="247">
      <c r="A247" s="170"/>
      <c r="J247" s="58"/>
      <c r="K247" s="58"/>
    </row>
    <row r="248">
      <c r="A248" s="170"/>
      <c r="J248" s="58"/>
      <c r="K248" s="58"/>
    </row>
    <row r="249">
      <c r="A249" s="170"/>
      <c r="J249" s="58"/>
      <c r="K249" s="58"/>
    </row>
    <row r="250">
      <c r="A250" s="170"/>
      <c r="J250" s="58"/>
      <c r="K250" s="58"/>
    </row>
    <row r="251">
      <c r="A251" s="170"/>
      <c r="J251" s="58"/>
      <c r="K251" s="58"/>
    </row>
    <row r="252">
      <c r="A252" s="170"/>
      <c r="J252" s="58"/>
      <c r="K252" s="58"/>
    </row>
    <row r="253">
      <c r="A253" s="170"/>
      <c r="J253" s="58"/>
      <c r="K253" s="58"/>
    </row>
    <row r="254">
      <c r="A254" s="170"/>
      <c r="J254" s="58"/>
      <c r="K254" s="58"/>
    </row>
    <row r="255">
      <c r="A255" s="170"/>
      <c r="J255" s="58"/>
      <c r="K255" s="58"/>
    </row>
    <row r="256">
      <c r="A256" s="170"/>
      <c r="J256" s="58"/>
      <c r="K256" s="58"/>
    </row>
    <row r="257">
      <c r="A257" s="170"/>
      <c r="J257" s="58"/>
      <c r="K257" s="58"/>
    </row>
    <row r="258">
      <c r="A258" s="170"/>
      <c r="J258" s="58"/>
      <c r="K258" s="58"/>
    </row>
    <row r="259">
      <c r="A259" s="170"/>
      <c r="J259" s="58"/>
      <c r="K259" s="58"/>
    </row>
    <row r="260">
      <c r="A260" s="170"/>
      <c r="J260" s="58"/>
      <c r="K260" s="58"/>
    </row>
    <row r="261">
      <c r="A261" s="170"/>
      <c r="J261" s="58"/>
      <c r="K261" s="58"/>
    </row>
    <row r="262">
      <c r="A262" s="170"/>
      <c r="J262" s="58"/>
      <c r="K262" s="58"/>
    </row>
    <row r="263">
      <c r="A263" s="170"/>
      <c r="J263" s="58"/>
      <c r="K263" s="58"/>
    </row>
    <row r="264">
      <c r="A264" s="170"/>
      <c r="J264" s="58"/>
      <c r="K264" s="58"/>
    </row>
    <row r="265">
      <c r="A265" s="170"/>
      <c r="J265" s="58"/>
      <c r="K265" s="58"/>
    </row>
    <row r="266">
      <c r="A266" s="170"/>
      <c r="J266" s="58"/>
      <c r="K266" s="58"/>
    </row>
    <row r="267">
      <c r="A267" s="170"/>
      <c r="J267" s="58"/>
      <c r="K267" s="58"/>
    </row>
    <row r="268">
      <c r="A268" s="170"/>
      <c r="J268" s="58"/>
      <c r="K268" s="58"/>
    </row>
    <row r="269">
      <c r="A269" s="170"/>
      <c r="J269" s="58"/>
      <c r="K269" s="58"/>
    </row>
    <row r="270">
      <c r="A270" s="170"/>
      <c r="J270" s="58"/>
      <c r="K270" s="58"/>
    </row>
    <row r="271">
      <c r="A271" s="170"/>
      <c r="J271" s="58"/>
      <c r="K271" s="58"/>
    </row>
    <row r="272">
      <c r="A272" s="170"/>
      <c r="J272" s="58"/>
      <c r="K272" s="58"/>
    </row>
    <row r="273">
      <c r="A273" s="170"/>
      <c r="J273" s="58"/>
      <c r="K273" s="58"/>
    </row>
    <row r="274">
      <c r="A274" s="170"/>
      <c r="J274" s="58"/>
      <c r="K274" s="58"/>
    </row>
    <row r="275">
      <c r="A275" s="170"/>
      <c r="J275" s="58"/>
      <c r="K275" s="58"/>
    </row>
    <row r="276">
      <c r="A276" s="170"/>
      <c r="J276" s="58"/>
      <c r="K276" s="58"/>
    </row>
    <row r="277">
      <c r="A277" s="170"/>
      <c r="J277" s="58"/>
      <c r="K277" s="58"/>
    </row>
    <row r="278">
      <c r="A278" s="170"/>
      <c r="J278" s="58"/>
      <c r="K278" s="58"/>
    </row>
    <row r="279">
      <c r="A279" s="170"/>
      <c r="J279" s="58"/>
      <c r="K279" s="58"/>
    </row>
    <row r="280">
      <c r="A280" s="170"/>
      <c r="J280" s="58"/>
      <c r="K280" s="58"/>
    </row>
    <row r="281">
      <c r="A281" s="170"/>
      <c r="J281" s="58"/>
      <c r="K281" s="58"/>
    </row>
    <row r="282">
      <c r="A282" s="170"/>
      <c r="J282" s="58"/>
      <c r="K282" s="58"/>
    </row>
    <row r="283">
      <c r="A283" s="170"/>
      <c r="J283" s="58"/>
      <c r="K283" s="58"/>
    </row>
    <row r="284">
      <c r="A284" s="170"/>
      <c r="J284" s="58"/>
      <c r="K284" s="58"/>
    </row>
    <row r="285">
      <c r="A285" s="170"/>
      <c r="J285" s="58"/>
      <c r="K285" s="58"/>
    </row>
    <row r="286">
      <c r="A286" s="170"/>
      <c r="J286" s="58"/>
      <c r="K286" s="58"/>
    </row>
    <row r="287">
      <c r="A287" s="170"/>
      <c r="J287" s="58"/>
      <c r="K287" s="58"/>
    </row>
    <row r="288">
      <c r="A288" s="170"/>
      <c r="J288" s="58"/>
      <c r="K288" s="58"/>
    </row>
    <row r="289">
      <c r="A289" s="170"/>
      <c r="J289" s="58"/>
      <c r="K289" s="58"/>
    </row>
    <row r="290">
      <c r="A290" s="170"/>
      <c r="J290" s="58"/>
      <c r="K290" s="58"/>
    </row>
    <row r="291">
      <c r="A291" s="170"/>
      <c r="J291" s="58"/>
      <c r="K291" s="58"/>
    </row>
    <row r="292">
      <c r="A292" s="170"/>
      <c r="J292" s="58"/>
      <c r="K292" s="58"/>
    </row>
    <row r="293">
      <c r="A293" s="170"/>
      <c r="J293" s="58"/>
      <c r="K293" s="58"/>
    </row>
    <row r="294">
      <c r="A294" s="170"/>
      <c r="J294" s="58"/>
      <c r="K294" s="58"/>
    </row>
    <row r="295">
      <c r="A295" s="170"/>
      <c r="J295" s="58"/>
      <c r="K295" s="58"/>
    </row>
    <row r="296">
      <c r="A296" s="170"/>
      <c r="J296" s="58"/>
      <c r="K296" s="58"/>
    </row>
    <row r="297">
      <c r="A297" s="170"/>
      <c r="J297" s="58"/>
      <c r="K297" s="58"/>
    </row>
    <row r="298">
      <c r="A298" s="170"/>
      <c r="J298" s="58"/>
      <c r="K298" s="58"/>
    </row>
    <row r="299">
      <c r="A299" s="170"/>
      <c r="J299" s="58"/>
      <c r="K299" s="58"/>
    </row>
    <row r="300">
      <c r="A300" s="170"/>
      <c r="J300" s="58"/>
      <c r="K300" s="58"/>
    </row>
    <row r="301">
      <c r="A301" s="170"/>
      <c r="J301" s="58"/>
      <c r="K301" s="58"/>
    </row>
    <row r="302">
      <c r="A302" s="170"/>
      <c r="J302" s="58"/>
      <c r="K302" s="58"/>
    </row>
    <row r="303">
      <c r="A303" s="170"/>
      <c r="J303" s="58"/>
      <c r="K303" s="58"/>
    </row>
    <row r="304">
      <c r="A304" s="170"/>
      <c r="J304" s="58"/>
      <c r="K304" s="58"/>
    </row>
    <row r="305">
      <c r="A305" s="170"/>
      <c r="J305" s="58"/>
      <c r="K305" s="58"/>
    </row>
    <row r="306">
      <c r="A306" s="170"/>
      <c r="J306" s="58"/>
      <c r="K306" s="58"/>
    </row>
    <row r="307">
      <c r="A307" s="170"/>
      <c r="J307" s="58"/>
      <c r="K307" s="58"/>
    </row>
    <row r="308">
      <c r="A308" s="170"/>
      <c r="J308" s="58"/>
      <c r="K308" s="58"/>
    </row>
    <row r="309">
      <c r="A309" s="170"/>
      <c r="J309" s="58"/>
      <c r="K309" s="58"/>
    </row>
    <row r="310">
      <c r="A310" s="170"/>
      <c r="J310" s="58"/>
      <c r="K310" s="58"/>
    </row>
    <row r="311">
      <c r="A311" s="170"/>
      <c r="J311" s="58"/>
      <c r="K311" s="58"/>
    </row>
    <row r="312">
      <c r="A312" s="170"/>
      <c r="J312" s="58"/>
      <c r="K312" s="58"/>
    </row>
    <row r="313">
      <c r="A313" s="170"/>
      <c r="J313" s="58"/>
      <c r="K313" s="58"/>
    </row>
    <row r="314">
      <c r="A314" s="170"/>
      <c r="J314" s="58"/>
      <c r="K314" s="58"/>
    </row>
    <row r="315">
      <c r="A315" s="170"/>
      <c r="J315" s="58"/>
      <c r="K315" s="58"/>
    </row>
    <row r="316">
      <c r="A316" s="170"/>
      <c r="J316" s="58"/>
      <c r="K316" s="58"/>
    </row>
    <row r="317">
      <c r="A317" s="170"/>
      <c r="J317" s="58"/>
      <c r="K317" s="58"/>
    </row>
    <row r="318">
      <c r="A318" s="170"/>
      <c r="J318" s="58"/>
      <c r="K318" s="58"/>
    </row>
    <row r="319">
      <c r="A319" s="170"/>
      <c r="J319" s="58"/>
      <c r="K319" s="58"/>
    </row>
    <row r="320">
      <c r="A320" s="170"/>
      <c r="J320" s="58"/>
      <c r="K320" s="58"/>
    </row>
    <row r="321">
      <c r="A321" s="170"/>
      <c r="J321" s="58"/>
      <c r="K321" s="58"/>
    </row>
    <row r="322">
      <c r="A322" s="170"/>
      <c r="J322" s="58"/>
      <c r="K322" s="58"/>
    </row>
    <row r="323">
      <c r="A323" s="170"/>
      <c r="J323" s="58"/>
      <c r="K323" s="58"/>
    </row>
    <row r="324">
      <c r="A324" s="170"/>
      <c r="J324" s="58"/>
      <c r="K324" s="58"/>
    </row>
    <row r="325">
      <c r="A325" s="170"/>
      <c r="J325" s="58"/>
      <c r="K325" s="58"/>
    </row>
    <row r="326">
      <c r="A326" s="170"/>
      <c r="J326" s="58"/>
      <c r="K326" s="58"/>
    </row>
    <row r="327">
      <c r="A327" s="170"/>
      <c r="J327" s="58"/>
      <c r="K327" s="58"/>
    </row>
    <row r="328">
      <c r="A328" s="170"/>
      <c r="J328" s="58"/>
      <c r="K328" s="58"/>
    </row>
    <row r="329">
      <c r="A329" s="170"/>
      <c r="J329" s="58"/>
      <c r="K329" s="58"/>
    </row>
    <row r="330">
      <c r="A330" s="170"/>
      <c r="J330" s="58"/>
      <c r="K330" s="58"/>
    </row>
    <row r="331">
      <c r="A331" s="170"/>
      <c r="J331" s="58"/>
      <c r="K331" s="58"/>
    </row>
    <row r="332">
      <c r="A332" s="170"/>
      <c r="J332" s="58"/>
      <c r="K332" s="58"/>
    </row>
    <row r="333">
      <c r="A333" s="170"/>
      <c r="J333" s="58"/>
      <c r="K333" s="58"/>
    </row>
    <row r="334">
      <c r="A334" s="170"/>
      <c r="J334" s="58"/>
      <c r="K334" s="58"/>
    </row>
    <row r="335">
      <c r="A335" s="170"/>
      <c r="J335" s="58"/>
      <c r="K335" s="58"/>
    </row>
    <row r="336">
      <c r="A336" s="170"/>
      <c r="J336" s="58"/>
      <c r="K336" s="58"/>
    </row>
    <row r="337">
      <c r="A337" s="170"/>
      <c r="J337" s="58"/>
      <c r="K337" s="58"/>
    </row>
    <row r="338">
      <c r="A338" s="170"/>
      <c r="J338" s="58"/>
      <c r="K338" s="58"/>
    </row>
    <row r="339">
      <c r="A339" s="170"/>
      <c r="J339" s="58"/>
      <c r="K339" s="58"/>
    </row>
    <row r="340">
      <c r="A340" s="170"/>
      <c r="J340" s="58"/>
      <c r="K340" s="58"/>
    </row>
    <row r="341">
      <c r="A341" s="170"/>
      <c r="J341" s="58"/>
      <c r="K341" s="58"/>
    </row>
    <row r="342">
      <c r="A342" s="170"/>
      <c r="J342" s="58"/>
      <c r="K342" s="58"/>
    </row>
    <row r="343">
      <c r="A343" s="170"/>
      <c r="J343" s="58"/>
      <c r="K343" s="58"/>
    </row>
    <row r="344">
      <c r="A344" s="170"/>
      <c r="J344" s="58"/>
      <c r="K344" s="58"/>
    </row>
    <row r="345">
      <c r="A345" s="170"/>
      <c r="J345" s="58"/>
      <c r="K345" s="58"/>
    </row>
    <row r="346">
      <c r="A346" s="170"/>
      <c r="J346" s="58"/>
      <c r="K346" s="58"/>
    </row>
    <row r="347">
      <c r="A347" s="170"/>
      <c r="J347" s="58"/>
      <c r="K347" s="58"/>
    </row>
    <row r="348">
      <c r="A348" s="170"/>
      <c r="J348" s="58"/>
      <c r="K348" s="58"/>
    </row>
    <row r="349">
      <c r="A349" s="170"/>
      <c r="J349" s="58"/>
      <c r="K349" s="58"/>
    </row>
    <row r="350">
      <c r="A350" s="170"/>
      <c r="J350" s="58"/>
      <c r="K350" s="58"/>
    </row>
    <row r="351">
      <c r="A351" s="170"/>
      <c r="J351" s="58"/>
      <c r="K351" s="58"/>
    </row>
    <row r="352">
      <c r="A352" s="170"/>
      <c r="J352" s="58"/>
      <c r="K352" s="58"/>
    </row>
    <row r="353">
      <c r="A353" s="170"/>
      <c r="J353" s="58"/>
      <c r="K353" s="58"/>
    </row>
    <row r="354">
      <c r="A354" s="170"/>
      <c r="J354" s="58"/>
      <c r="K354" s="58"/>
    </row>
    <row r="355">
      <c r="A355" s="170"/>
      <c r="J355" s="58"/>
      <c r="K355" s="58"/>
    </row>
    <row r="356">
      <c r="A356" s="170"/>
      <c r="J356" s="58"/>
      <c r="K356" s="58"/>
    </row>
    <row r="357">
      <c r="A357" s="170"/>
      <c r="J357" s="58"/>
      <c r="K357" s="58"/>
    </row>
    <row r="358">
      <c r="A358" s="170"/>
      <c r="J358" s="58"/>
      <c r="K358" s="58"/>
    </row>
    <row r="359">
      <c r="A359" s="170"/>
      <c r="J359" s="58"/>
      <c r="K359" s="58"/>
    </row>
    <row r="360">
      <c r="A360" s="170"/>
      <c r="J360" s="58"/>
      <c r="K360" s="58"/>
    </row>
    <row r="361">
      <c r="A361" s="170"/>
      <c r="J361" s="58"/>
      <c r="K361" s="58"/>
    </row>
    <row r="362">
      <c r="A362" s="170"/>
      <c r="J362" s="58"/>
      <c r="K362" s="58"/>
    </row>
    <row r="363">
      <c r="A363" s="170"/>
      <c r="J363" s="58"/>
      <c r="K363" s="58"/>
    </row>
    <row r="364">
      <c r="A364" s="170"/>
      <c r="J364" s="58"/>
      <c r="K364" s="58"/>
    </row>
    <row r="365">
      <c r="A365" s="170"/>
      <c r="J365" s="58"/>
      <c r="K365" s="58"/>
    </row>
    <row r="366">
      <c r="A366" s="170"/>
      <c r="J366" s="58"/>
      <c r="K366" s="58"/>
    </row>
    <row r="367">
      <c r="A367" s="170"/>
      <c r="J367" s="58"/>
      <c r="K367" s="58"/>
    </row>
    <row r="368">
      <c r="A368" s="170"/>
      <c r="J368" s="58"/>
      <c r="K368" s="58"/>
    </row>
    <row r="369">
      <c r="A369" s="170"/>
      <c r="J369" s="58"/>
      <c r="K369" s="58"/>
    </row>
    <row r="370">
      <c r="A370" s="170"/>
      <c r="J370" s="58"/>
      <c r="K370" s="58"/>
    </row>
    <row r="371">
      <c r="A371" s="170"/>
      <c r="J371" s="58"/>
      <c r="K371" s="58"/>
    </row>
    <row r="372">
      <c r="A372" s="170"/>
      <c r="J372" s="58"/>
      <c r="K372" s="58"/>
    </row>
    <row r="373">
      <c r="A373" s="170"/>
      <c r="J373" s="58"/>
      <c r="K373" s="58"/>
    </row>
    <row r="374">
      <c r="A374" s="170"/>
      <c r="J374" s="58"/>
      <c r="K374" s="58"/>
    </row>
    <row r="375">
      <c r="A375" s="170"/>
      <c r="J375" s="58"/>
      <c r="K375" s="58"/>
    </row>
    <row r="376">
      <c r="A376" s="170"/>
      <c r="J376" s="58"/>
      <c r="K376" s="58"/>
    </row>
    <row r="377">
      <c r="A377" s="170"/>
      <c r="J377" s="58"/>
      <c r="K377" s="58"/>
    </row>
    <row r="378">
      <c r="A378" s="170"/>
      <c r="J378" s="58"/>
      <c r="K378" s="58"/>
    </row>
    <row r="379">
      <c r="A379" s="170"/>
      <c r="J379" s="58"/>
      <c r="K379" s="58"/>
    </row>
    <row r="380">
      <c r="A380" s="170"/>
      <c r="J380" s="58"/>
      <c r="K380" s="58"/>
    </row>
    <row r="381">
      <c r="A381" s="170"/>
      <c r="J381" s="58"/>
      <c r="K381" s="58"/>
    </row>
    <row r="382">
      <c r="A382" s="170"/>
      <c r="J382" s="58"/>
      <c r="K382" s="58"/>
    </row>
    <row r="383">
      <c r="A383" s="170"/>
      <c r="J383" s="58"/>
      <c r="K383" s="58"/>
    </row>
    <row r="384">
      <c r="A384" s="170"/>
      <c r="J384" s="58"/>
      <c r="K384" s="58"/>
    </row>
    <row r="385">
      <c r="A385" s="170"/>
      <c r="J385" s="58"/>
      <c r="K385" s="58"/>
    </row>
    <row r="386">
      <c r="A386" s="170"/>
      <c r="J386" s="58"/>
      <c r="K386" s="58"/>
    </row>
    <row r="387">
      <c r="A387" s="170"/>
      <c r="J387" s="58"/>
      <c r="K387" s="58"/>
    </row>
    <row r="388">
      <c r="A388" s="170"/>
      <c r="J388" s="58"/>
      <c r="K388" s="58"/>
    </row>
    <row r="389">
      <c r="A389" s="170"/>
      <c r="J389" s="58"/>
      <c r="K389" s="58"/>
    </row>
    <row r="390">
      <c r="A390" s="170"/>
      <c r="J390" s="58"/>
      <c r="K390" s="58"/>
    </row>
    <row r="391">
      <c r="A391" s="170"/>
      <c r="J391" s="58"/>
      <c r="K391" s="58"/>
    </row>
    <row r="392">
      <c r="A392" s="170"/>
      <c r="J392" s="58"/>
      <c r="K392" s="58"/>
    </row>
    <row r="393">
      <c r="A393" s="170"/>
      <c r="J393" s="58"/>
      <c r="K393" s="58"/>
    </row>
    <row r="394">
      <c r="A394" s="170"/>
      <c r="J394" s="58"/>
      <c r="K394" s="58"/>
    </row>
    <row r="395">
      <c r="A395" s="170"/>
      <c r="J395" s="58"/>
      <c r="K395" s="58"/>
    </row>
    <row r="396">
      <c r="A396" s="170"/>
      <c r="J396" s="58"/>
      <c r="K396" s="58"/>
    </row>
    <row r="397">
      <c r="A397" s="170"/>
      <c r="J397" s="58"/>
      <c r="K397" s="58"/>
    </row>
    <row r="398">
      <c r="A398" s="170"/>
      <c r="J398" s="58"/>
      <c r="K398" s="58"/>
    </row>
    <row r="399">
      <c r="A399" s="170"/>
      <c r="J399" s="58"/>
      <c r="K399" s="58"/>
    </row>
    <row r="400">
      <c r="A400" s="170"/>
      <c r="J400" s="58"/>
      <c r="K400" s="58"/>
    </row>
    <row r="401">
      <c r="A401" s="170"/>
      <c r="J401" s="58"/>
      <c r="K401" s="58"/>
    </row>
    <row r="402">
      <c r="A402" s="170"/>
      <c r="J402" s="58"/>
      <c r="K402" s="58"/>
    </row>
    <row r="403">
      <c r="A403" s="170"/>
      <c r="J403" s="58"/>
      <c r="K403" s="58"/>
    </row>
    <row r="404">
      <c r="A404" s="170"/>
      <c r="J404" s="58"/>
      <c r="K404" s="58"/>
    </row>
    <row r="405">
      <c r="A405" s="170"/>
      <c r="J405" s="58"/>
      <c r="K405" s="58"/>
    </row>
    <row r="406">
      <c r="A406" s="170"/>
      <c r="J406" s="58"/>
      <c r="K406" s="58"/>
    </row>
    <row r="407">
      <c r="A407" s="170"/>
      <c r="J407" s="58"/>
      <c r="K407" s="58"/>
    </row>
    <row r="408">
      <c r="A408" s="170"/>
      <c r="J408" s="58"/>
      <c r="K408" s="58"/>
    </row>
    <row r="409">
      <c r="A409" s="170"/>
      <c r="J409" s="58"/>
      <c r="K409" s="58"/>
    </row>
    <row r="410">
      <c r="A410" s="170"/>
      <c r="J410" s="58"/>
      <c r="K410" s="58"/>
    </row>
    <row r="411">
      <c r="A411" s="170"/>
      <c r="J411" s="58"/>
      <c r="K411" s="58"/>
    </row>
    <row r="412">
      <c r="A412" s="170"/>
      <c r="J412" s="58"/>
      <c r="K412" s="58"/>
    </row>
    <row r="413">
      <c r="A413" s="170"/>
      <c r="J413" s="58"/>
      <c r="K413" s="58"/>
    </row>
    <row r="414">
      <c r="A414" s="170"/>
      <c r="J414" s="58"/>
      <c r="K414" s="58"/>
    </row>
    <row r="415">
      <c r="A415" s="170"/>
      <c r="J415" s="58"/>
      <c r="K415" s="58"/>
    </row>
    <row r="416">
      <c r="A416" s="170"/>
      <c r="J416" s="58"/>
      <c r="K416" s="58"/>
    </row>
    <row r="417">
      <c r="A417" s="170"/>
      <c r="J417" s="58"/>
      <c r="K417" s="58"/>
    </row>
    <row r="418">
      <c r="A418" s="170"/>
      <c r="J418" s="58"/>
      <c r="K418" s="58"/>
    </row>
    <row r="419">
      <c r="A419" s="170"/>
      <c r="J419" s="58"/>
      <c r="K419" s="58"/>
    </row>
    <row r="420">
      <c r="A420" s="170"/>
      <c r="J420" s="58"/>
      <c r="K420" s="58"/>
    </row>
    <row r="421">
      <c r="A421" s="170"/>
      <c r="J421" s="58"/>
      <c r="K421" s="58"/>
    </row>
    <row r="422">
      <c r="A422" s="170"/>
      <c r="J422" s="58"/>
      <c r="K422" s="58"/>
    </row>
    <row r="423">
      <c r="A423" s="170"/>
      <c r="J423" s="58"/>
      <c r="K423" s="58"/>
    </row>
    <row r="424">
      <c r="A424" s="170"/>
      <c r="J424" s="58"/>
      <c r="K424" s="58"/>
    </row>
    <row r="425">
      <c r="A425" s="170"/>
      <c r="J425" s="58"/>
      <c r="K425" s="58"/>
    </row>
    <row r="426">
      <c r="A426" s="170"/>
      <c r="J426" s="58"/>
      <c r="K426" s="58"/>
    </row>
    <row r="427">
      <c r="A427" s="170"/>
      <c r="J427" s="58"/>
      <c r="K427" s="58"/>
    </row>
    <row r="428">
      <c r="A428" s="170"/>
      <c r="J428" s="58"/>
      <c r="K428" s="58"/>
    </row>
    <row r="429">
      <c r="A429" s="170"/>
      <c r="J429" s="58"/>
      <c r="K429" s="58"/>
    </row>
    <row r="430">
      <c r="A430" s="170"/>
      <c r="J430" s="58"/>
      <c r="K430" s="58"/>
    </row>
    <row r="431">
      <c r="A431" s="170"/>
      <c r="J431" s="58"/>
      <c r="K431" s="58"/>
    </row>
    <row r="432">
      <c r="A432" s="170"/>
      <c r="J432" s="58"/>
      <c r="K432" s="58"/>
    </row>
    <row r="433">
      <c r="A433" s="170"/>
      <c r="J433" s="58"/>
      <c r="K433" s="58"/>
    </row>
    <row r="434">
      <c r="A434" s="170"/>
      <c r="J434" s="58"/>
      <c r="K434" s="58"/>
    </row>
    <row r="435">
      <c r="A435" s="170"/>
      <c r="J435" s="58"/>
      <c r="K435" s="58"/>
    </row>
    <row r="436">
      <c r="A436" s="170"/>
      <c r="J436" s="58"/>
      <c r="K436" s="58"/>
    </row>
    <row r="437">
      <c r="A437" s="170"/>
      <c r="J437" s="58"/>
      <c r="K437" s="58"/>
    </row>
    <row r="438">
      <c r="A438" s="170"/>
      <c r="J438" s="58"/>
      <c r="K438" s="58"/>
    </row>
    <row r="439">
      <c r="A439" s="170"/>
      <c r="J439" s="58"/>
      <c r="K439" s="58"/>
    </row>
    <row r="440">
      <c r="A440" s="170"/>
      <c r="J440" s="58"/>
      <c r="K440" s="58"/>
    </row>
    <row r="441">
      <c r="A441" s="170"/>
      <c r="J441" s="58"/>
      <c r="K441" s="58"/>
    </row>
    <row r="442">
      <c r="A442" s="170"/>
      <c r="J442" s="58"/>
      <c r="K442" s="58"/>
    </row>
    <row r="443">
      <c r="A443" s="170"/>
      <c r="J443" s="58"/>
      <c r="K443" s="58"/>
    </row>
    <row r="444">
      <c r="A444" s="170"/>
      <c r="J444" s="58"/>
      <c r="K444" s="58"/>
    </row>
    <row r="445">
      <c r="A445" s="170"/>
      <c r="J445" s="58"/>
      <c r="K445" s="58"/>
    </row>
    <row r="446">
      <c r="A446" s="170"/>
      <c r="J446" s="58"/>
      <c r="K446" s="58"/>
    </row>
    <row r="447">
      <c r="A447" s="170"/>
      <c r="J447" s="58"/>
      <c r="K447" s="58"/>
    </row>
    <row r="448">
      <c r="A448" s="170"/>
      <c r="J448" s="58"/>
      <c r="K448" s="58"/>
    </row>
    <row r="449">
      <c r="A449" s="170"/>
      <c r="J449" s="58"/>
      <c r="K449" s="58"/>
    </row>
    <row r="450">
      <c r="A450" s="170"/>
      <c r="J450" s="58"/>
      <c r="K450" s="58"/>
    </row>
    <row r="451">
      <c r="A451" s="170"/>
      <c r="J451" s="58"/>
      <c r="K451" s="58"/>
    </row>
    <row r="452">
      <c r="A452" s="170"/>
      <c r="J452" s="58"/>
      <c r="K452" s="58"/>
    </row>
    <row r="453">
      <c r="A453" s="170"/>
      <c r="J453" s="58"/>
      <c r="K453" s="58"/>
    </row>
    <row r="454">
      <c r="A454" s="170"/>
      <c r="J454" s="58"/>
      <c r="K454" s="58"/>
    </row>
    <row r="455">
      <c r="A455" s="170"/>
      <c r="J455" s="58"/>
      <c r="K455" s="58"/>
    </row>
    <row r="456">
      <c r="A456" s="170"/>
      <c r="J456" s="58"/>
      <c r="K456" s="58"/>
    </row>
    <row r="457">
      <c r="A457" s="170"/>
      <c r="J457" s="58"/>
      <c r="K457" s="58"/>
    </row>
    <row r="458">
      <c r="A458" s="170"/>
      <c r="J458" s="58"/>
      <c r="K458" s="58"/>
    </row>
    <row r="459">
      <c r="A459" s="170"/>
      <c r="J459" s="58"/>
      <c r="K459" s="58"/>
    </row>
    <row r="460">
      <c r="A460" s="170"/>
      <c r="J460" s="58"/>
      <c r="K460" s="58"/>
    </row>
    <row r="461">
      <c r="A461" s="170"/>
      <c r="J461" s="58"/>
      <c r="K461" s="58"/>
    </row>
    <row r="462">
      <c r="A462" s="170"/>
      <c r="J462" s="58"/>
      <c r="K462" s="58"/>
    </row>
    <row r="463">
      <c r="A463" s="170"/>
      <c r="J463" s="58"/>
      <c r="K463" s="58"/>
    </row>
    <row r="464">
      <c r="A464" s="170"/>
      <c r="J464" s="58"/>
      <c r="K464" s="58"/>
    </row>
    <row r="465">
      <c r="A465" s="170"/>
      <c r="J465" s="58"/>
      <c r="K465" s="58"/>
    </row>
    <row r="466">
      <c r="A466" s="170"/>
      <c r="J466" s="58"/>
      <c r="K466" s="58"/>
    </row>
    <row r="467">
      <c r="A467" s="170"/>
      <c r="J467" s="58"/>
      <c r="K467" s="58"/>
    </row>
    <row r="468">
      <c r="A468" s="170"/>
      <c r="J468" s="58"/>
      <c r="K468" s="58"/>
    </row>
    <row r="469">
      <c r="A469" s="170"/>
      <c r="J469" s="58"/>
      <c r="K469" s="58"/>
    </row>
    <row r="470">
      <c r="A470" s="170"/>
      <c r="J470" s="58"/>
      <c r="K470" s="58"/>
    </row>
    <row r="471">
      <c r="A471" s="170"/>
      <c r="J471" s="58"/>
      <c r="K471" s="58"/>
    </row>
    <row r="472">
      <c r="A472" s="170"/>
      <c r="J472" s="58"/>
      <c r="K472" s="58"/>
    </row>
    <row r="473">
      <c r="A473" s="170"/>
      <c r="J473" s="58"/>
      <c r="K473" s="58"/>
    </row>
    <row r="474">
      <c r="A474" s="170"/>
      <c r="J474" s="58"/>
      <c r="K474" s="58"/>
    </row>
    <row r="475">
      <c r="A475" s="170"/>
      <c r="J475" s="58"/>
      <c r="K475" s="58"/>
    </row>
    <row r="476">
      <c r="A476" s="170"/>
      <c r="J476" s="58"/>
      <c r="K476" s="58"/>
    </row>
    <row r="477">
      <c r="A477" s="170"/>
      <c r="J477" s="58"/>
      <c r="K477" s="58"/>
    </row>
    <row r="478">
      <c r="A478" s="170"/>
      <c r="J478" s="58"/>
      <c r="K478" s="58"/>
    </row>
    <row r="479">
      <c r="A479" s="170"/>
      <c r="J479" s="58"/>
      <c r="K479" s="58"/>
    </row>
    <row r="480">
      <c r="A480" s="170"/>
      <c r="J480" s="58"/>
      <c r="K480" s="58"/>
    </row>
    <row r="481">
      <c r="A481" s="170"/>
      <c r="J481" s="58"/>
      <c r="K481" s="58"/>
    </row>
    <row r="482">
      <c r="A482" s="170"/>
      <c r="J482" s="58"/>
      <c r="K482" s="58"/>
    </row>
    <row r="483">
      <c r="A483" s="170"/>
      <c r="J483" s="58"/>
      <c r="K483" s="58"/>
    </row>
    <row r="484">
      <c r="A484" s="170"/>
      <c r="J484" s="58"/>
      <c r="K484" s="58"/>
    </row>
    <row r="485">
      <c r="A485" s="170"/>
      <c r="J485" s="58"/>
      <c r="K485" s="58"/>
    </row>
    <row r="486">
      <c r="A486" s="170"/>
      <c r="J486" s="58"/>
      <c r="K486" s="58"/>
    </row>
    <row r="487">
      <c r="A487" s="170"/>
      <c r="J487" s="58"/>
      <c r="K487" s="58"/>
    </row>
    <row r="488">
      <c r="A488" s="170"/>
      <c r="J488" s="58"/>
      <c r="K488" s="58"/>
    </row>
    <row r="489">
      <c r="A489" s="170"/>
      <c r="J489" s="58"/>
      <c r="K489" s="58"/>
    </row>
    <row r="490">
      <c r="A490" s="170"/>
      <c r="J490" s="58"/>
      <c r="K490" s="58"/>
    </row>
    <row r="491">
      <c r="A491" s="170"/>
      <c r="J491" s="58"/>
      <c r="K491" s="58"/>
    </row>
    <row r="492">
      <c r="A492" s="170"/>
      <c r="J492" s="58"/>
      <c r="K492" s="58"/>
    </row>
    <row r="493">
      <c r="A493" s="170"/>
      <c r="J493" s="58"/>
      <c r="K493" s="58"/>
    </row>
    <row r="494">
      <c r="A494" s="170"/>
      <c r="J494" s="58"/>
      <c r="K494" s="58"/>
    </row>
    <row r="495">
      <c r="A495" s="170"/>
      <c r="J495" s="58"/>
      <c r="K495" s="58"/>
    </row>
    <row r="496">
      <c r="A496" s="170"/>
      <c r="J496" s="58"/>
      <c r="K496" s="58"/>
    </row>
    <row r="497">
      <c r="A497" s="170"/>
      <c r="J497" s="58"/>
      <c r="K497" s="58"/>
    </row>
    <row r="498">
      <c r="A498" s="170"/>
      <c r="J498" s="58"/>
      <c r="K498" s="58"/>
    </row>
    <row r="499">
      <c r="A499" s="170"/>
      <c r="J499" s="58"/>
      <c r="K499" s="58"/>
    </row>
    <row r="500">
      <c r="A500" s="170"/>
      <c r="J500" s="58"/>
      <c r="K500" s="58"/>
    </row>
    <row r="501">
      <c r="A501" s="170"/>
      <c r="J501" s="58"/>
      <c r="K501" s="58"/>
    </row>
    <row r="502">
      <c r="A502" s="170"/>
      <c r="J502" s="58"/>
      <c r="K502" s="58"/>
    </row>
    <row r="503">
      <c r="A503" s="170"/>
      <c r="J503" s="58"/>
      <c r="K503" s="58"/>
    </row>
    <row r="504">
      <c r="A504" s="170"/>
      <c r="J504" s="58"/>
      <c r="K504" s="58"/>
    </row>
    <row r="505">
      <c r="A505" s="170"/>
      <c r="J505" s="58"/>
      <c r="K505" s="58"/>
    </row>
    <row r="506">
      <c r="A506" s="170"/>
      <c r="J506" s="58"/>
      <c r="K506" s="58"/>
    </row>
    <row r="507">
      <c r="A507" s="170"/>
      <c r="J507" s="58"/>
      <c r="K507" s="58"/>
    </row>
    <row r="508">
      <c r="A508" s="170"/>
      <c r="J508" s="58"/>
      <c r="K508" s="58"/>
    </row>
    <row r="509">
      <c r="A509" s="170"/>
      <c r="J509" s="58"/>
      <c r="K509" s="58"/>
    </row>
    <row r="510">
      <c r="A510" s="170"/>
      <c r="J510" s="58"/>
      <c r="K510" s="58"/>
    </row>
    <row r="511">
      <c r="A511" s="170"/>
      <c r="J511" s="58"/>
      <c r="K511" s="58"/>
    </row>
    <row r="512">
      <c r="A512" s="170"/>
      <c r="J512" s="58"/>
      <c r="K512" s="58"/>
    </row>
    <row r="513">
      <c r="A513" s="170"/>
      <c r="J513" s="58"/>
      <c r="K513" s="58"/>
    </row>
    <row r="514">
      <c r="A514" s="170"/>
      <c r="J514" s="58"/>
      <c r="K514" s="58"/>
    </row>
    <row r="515">
      <c r="A515" s="170"/>
      <c r="J515" s="58"/>
      <c r="K515" s="58"/>
    </row>
    <row r="516">
      <c r="A516" s="170"/>
      <c r="J516" s="58"/>
      <c r="K516" s="58"/>
    </row>
    <row r="517">
      <c r="A517" s="170"/>
      <c r="J517" s="58"/>
      <c r="K517" s="58"/>
    </row>
    <row r="518">
      <c r="A518" s="170"/>
      <c r="J518" s="58"/>
      <c r="K518" s="58"/>
    </row>
    <row r="519">
      <c r="A519" s="170"/>
      <c r="J519" s="58"/>
      <c r="K519" s="58"/>
    </row>
    <row r="520">
      <c r="A520" s="170"/>
      <c r="J520" s="58"/>
      <c r="K520" s="58"/>
    </row>
    <row r="521">
      <c r="A521" s="170"/>
      <c r="J521" s="58"/>
      <c r="K521" s="58"/>
    </row>
    <row r="522">
      <c r="A522" s="170"/>
      <c r="J522" s="58"/>
      <c r="K522" s="58"/>
    </row>
    <row r="523">
      <c r="A523" s="170"/>
      <c r="J523" s="58"/>
      <c r="K523" s="58"/>
    </row>
    <row r="524">
      <c r="A524" s="170"/>
      <c r="J524" s="58"/>
      <c r="K524" s="58"/>
    </row>
    <row r="525">
      <c r="A525" s="170"/>
      <c r="J525" s="58"/>
      <c r="K525" s="58"/>
    </row>
    <row r="526">
      <c r="A526" s="170"/>
      <c r="J526" s="58"/>
      <c r="K526" s="58"/>
    </row>
    <row r="527">
      <c r="A527" s="170"/>
      <c r="J527" s="58"/>
      <c r="K527" s="58"/>
    </row>
    <row r="528">
      <c r="A528" s="170"/>
      <c r="J528" s="58"/>
      <c r="K528" s="58"/>
    </row>
    <row r="529">
      <c r="A529" s="170"/>
      <c r="J529" s="58"/>
      <c r="K529" s="58"/>
    </row>
    <row r="530">
      <c r="A530" s="170"/>
      <c r="J530" s="58"/>
      <c r="K530" s="58"/>
    </row>
    <row r="531">
      <c r="A531" s="170"/>
      <c r="J531" s="58"/>
      <c r="K531" s="58"/>
    </row>
    <row r="532">
      <c r="A532" s="170"/>
      <c r="J532" s="58"/>
      <c r="K532" s="58"/>
    </row>
    <row r="533">
      <c r="A533" s="170"/>
      <c r="J533" s="58"/>
      <c r="K533" s="58"/>
    </row>
    <row r="534">
      <c r="A534" s="170"/>
      <c r="J534" s="58"/>
      <c r="K534" s="58"/>
    </row>
    <row r="535">
      <c r="A535" s="170"/>
      <c r="J535" s="58"/>
      <c r="K535" s="58"/>
    </row>
    <row r="536">
      <c r="A536" s="170"/>
      <c r="J536" s="58"/>
      <c r="K536" s="58"/>
    </row>
    <row r="537">
      <c r="A537" s="170"/>
      <c r="J537" s="58"/>
      <c r="K537" s="58"/>
    </row>
    <row r="538">
      <c r="A538" s="170"/>
      <c r="J538" s="58"/>
      <c r="K538" s="58"/>
    </row>
    <row r="539">
      <c r="A539" s="170"/>
      <c r="J539" s="58"/>
      <c r="K539" s="58"/>
    </row>
    <row r="540">
      <c r="A540" s="170"/>
      <c r="J540" s="58"/>
      <c r="K540" s="58"/>
    </row>
    <row r="541">
      <c r="A541" s="170"/>
      <c r="J541" s="58"/>
      <c r="K541" s="58"/>
    </row>
    <row r="542">
      <c r="A542" s="170"/>
      <c r="J542" s="58"/>
      <c r="K542" s="58"/>
    </row>
    <row r="543">
      <c r="A543" s="170"/>
      <c r="J543" s="58"/>
      <c r="K543" s="58"/>
    </row>
    <row r="544">
      <c r="A544" s="170"/>
      <c r="J544" s="58"/>
      <c r="K544" s="58"/>
    </row>
    <row r="545">
      <c r="A545" s="170"/>
      <c r="J545" s="58"/>
      <c r="K545" s="58"/>
    </row>
    <row r="546">
      <c r="A546" s="170"/>
      <c r="J546" s="58"/>
      <c r="K546" s="58"/>
    </row>
    <row r="547">
      <c r="A547" s="170"/>
      <c r="J547" s="58"/>
      <c r="K547" s="58"/>
    </row>
    <row r="548">
      <c r="A548" s="170"/>
      <c r="J548" s="58"/>
      <c r="K548" s="58"/>
    </row>
    <row r="549">
      <c r="A549" s="170"/>
      <c r="J549" s="58"/>
      <c r="K549" s="58"/>
    </row>
    <row r="550">
      <c r="A550" s="170"/>
      <c r="J550" s="58"/>
      <c r="K550" s="58"/>
    </row>
    <row r="551">
      <c r="A551" s="170"/>
      <c r="J551" s="58"/>
      <c r="K551" s="58"/>
    </row>
    <row r="552">
      <c r="A552" s="170"/>
      <c r="J552" s="58"/>
      <c r="K552" s="58"/>
    </row>
    <row r="553">
      <c r="A553" s="170"/>
      <c r="J553" s="58"/>
      <c r="K553" s="58"/>
    </row>
    <row r="554">
      <c r="A554" s="170"/>
      <c r="J554" s="58"/>
      <c r="K554" s="58"/>
    </row>
    <row r="555">
      <c r="A555" s="170"/>
      <c r="J555" s="58"/>
      <c r="K555" s="58"/>
    </row>
    <row r="556">
      <c r="A556" s="170"/>
      <c r="J556" s="58"/>
      <c r="K556" s="58"/>
    </row>
    <row r="557">
      <c r="A557" s="170"/>
      <c r="J557" s="58"/>
      <c r="K557" s="58"/>
    </row>
    <row r="558">
      <c r="A558" s="170"/>
      <c r="J558" s="58"/>
      <c r="K558" s="58"/>
    </row>
    <row r="559">
      <c r="A559" s="170"/>
      <c r="J559" s="58"/>
      <c r="K559" s="58"/>
    </row>
    <row r="560">
      <c r="A560" s="170"/>
      <c r="J560" s="58"/>
      <c r="K560" s="58"/>
    </row>
    <row r="561">
      <c r="A561" s="170"/>
      <c r="J561" s="58"/>
      <c r="K561" s="58"/>
    </row>
    <row r="562">
      <c r="A562" s="170"/>
      <c r="J562" s="58"/>
      <c r="K562" s="58"/>
    </row>
    <row r="563">
      <c r="A563" s="170"/>
      <c r="J563" s="58"/>
      <c r="K563" s="58"/>
    </row>
    <row r="564">
      <c r="A564" s="170"/>
      <c r="J564" s="58"/>
      <c r="K564" s="58"/>
    </row>
    <row r="565">
      <c r="A565" s="170"/>
      <c r="J565" s="58"/>
      <c r="K565" s="58"/>
    </row>
    <row r="566">
      <c r="A566" s="170"/>
      <c r="J566" s="58"/>
      <c r="K566" s="58"/>
    </row>
    <row r="567">
      <c r="A567" s="170"/>
      <c r="J567" s="58"/>
      <c r="K567" s="58"/>
    </row>
    <row r="568">
      <c r="A568" s="170"/>
      <c r="J568" s="58"/>
      <c r="K568" s="58"/>
    </row>
    <row r="569">
      <c r="A569" s="170"/>
      <c r="J569" s="58"/>
      <c r="K569" s="58"/>
    </row>
    <row r="570">
      <c r="A570" s="170"/>
      <c r="J570" s="58"/>
      <c r="K570" s="58"/>
    </row>
    <row r="571">
      <c r="A571" s="170"/>
      <c r="J571" s="58"/>
      <c r="K571" s="58"/>
    </row>
    <row r="572">
      <c r="A572" s="170"/>
      <c r="J572" s="58"/>
      <c r="K572" s="58"/>
    </row>
    <row r="573">
      <c r="A573" s="170"/>
      <c r="J573" s="58"/>
      <c r="K573" s="58"/>
    </row>
    <row r="574">
      <c r="A574" s="170"/>
      <c r="J574" s="58"/>
      <c r="K574" s="58"/>
    </row>
    <row r="575">
      <c r="A575" s="170"/>
      <c r="J575" s="58"/>
      <c r="K575" s="58"/>
    </row>
    <row r="576">
      <c r="A576" s="170"/>
      <c r="J576" s="58"/>
      <c r="K576" s="58"/>
    </row>
    <row r="577">
      <c r="A577" s="170"/>
      <c r="J577" s="58"/>
      <c r="K577" s="58"/>
    </row>
    <row r="578">
      <c r="A578" s="170"/>
      <c r="J578" s="58"/>
      <c r="K578" s="58"/>
    </row>
    <row r="579">
      <c r="A579" s="170"/>
      <c r="J579" s="58"/>
      <c r="K579" s="58"/>
    </row>
    <row r="580">
      <c r="A580" s="170"/>
      <c r="J580" s="58"/>
      <c r="K580" s="58"/>
    </row>
    <row r="581">
      <c r="A581" s="170"/>
      <c r="J581" s="58"/>
      <c r="K581" s="58"/>
    </row>
    <row r="582">
      <c r="A582" s="170"/>
      <c r="J582" s="58"/>
      <c r="K582" s="58"/>
    </row>
    <row r="583">
      <c r="A583" s="170"/>
      <c r="J583" s="58"/>
      <c r="K583" s="58"/>
    </row>
    <row r="584">
      <c r="A584" s="170"/>
      <c r="J584" s="58"/>
      <c r="K584" s="58"/>
    </row>
    <row r="585">
      <c r="A585" s="170"/>
      <c r="J585" s="58"/>
      <c r="K585" s="58"/>
    </row>
    <row r="586">
      <c r="A586" s="170"/>
      <c r="J586" s="58"/>
      <c r="K586" s="58"/>
    </row>
    <row r="587">
      <c r="A587" s="170"/>
      <c r="J587" s="58"/>
      <c r="K587" s="58"/>
    </row>
    <row r="588">
      <c r="A588" s="170"/>
      <c r="J588" s="58"/>
      <c r="K588" s="58"/>
    </row>
    <row r="589">
      <c r="A589" s="170"/>
      <c r="J589" s="58"/>
      <c r="K589" s="58"/>
    </row>
    <row r="590">
      <c r="A590" s="170"/>
      <c r="J590" s="58"/>
      <c r="K590" s="58"/>
    </row>
    <row r="591">
      <c r="A591" s="170"/>
      <c r="J591" s="58"/>
      <c r="K591" s="58"/>
    </row>
    <row r="592">
      <c r="A592" s="170"/>
      <c r="J592" s="58"/>
      <c r="K592" s="58"/>
    </row>
    <row r="593">
      <c r="A593" s="170"/>
      <c r="J593" s="58"/>
      <c r="K593" s="58"/>
    </row>
    <row r="594">
      <c r="A594" s="170"/>
      <c r="J594" s="58"/>
      <c r="K594" s="58"/>
    </row>
    <row r="595">
      <c r="A595" s="170"/>
      <c r="J595" s="58"/>
      <c r="K595" s="58"/>
    </row>
    <row r="596">
      <c r="A596" s="170"/>
      <c r="J596" s="58"/>
      <c r="K596" s="58"/>
    </row>
    <row r="597">
      <c r="A597" s="170"/>
      <c r="J597" s="58"/>
      <c r="K597" s="58"/>
    </row>
    <row r="598">
      <c r="A598" s="170"/>
      <c r="J598" s="58"/>
      <c r="K598" s="58"/>
    </row>
    <row r="599">
      <c r="A599" s="170"/>
      <c r="J599" s="58"/>
      <c r="K599" s="58"/>
    </row>
    <row r="600">
      <c r="A600" s="170"/>
      <c r="J600" s="58"/>
      <c r="K600" s="58"/>
    </row>
    <row r="601">
      <c r="A601" s="170"/>
      <c r="J601" s="58"/>
      <c r="K601" s="58"/>
    </row>
    <row r="602">
      <c r="A602" s="170"/>
      <c r="J602" s="58"/>
      <c r="K602" s="58"/>
    </row>
    <row r="603">
      <c r="A603" s="170"/>
      <c r="J603" s="58"/>
      <c r="K603" s="58"/>
    </row>
    <row r="604">
      <c r="A604" s="170"/>
      <c r="J604" s="58"/>
      <c r="K604" s="58"/>
    </row>
    <row r="605">
      <c r="A605" s="170"/>
      <c r="J605" s="58"/>
      <c r="K605" s="58"/>
    </row>
    <row r="606">
      <c r="A606" s="170"/>
      <c r="J606" s="58"/>
      <c r="K606" s="58"/>
    </row>
    <row r="607">
      <c r="A607" s="170"/>
      <c r="J607" s="58"/>
      <c r="K607" s="58"/>
    </row>
    <row r="608">
      <c r="A608" s="170"/>
      <c r="J608" s="58"/>
      <c r="K608" s="58"/>
    </row>
    <row r="609">
      <c r="A609" s="170"/>
      <c r="J609" s="58"/>
      <c r="K609" s="58"/>
    </row>
    <row r="610">
      <c r="A610" s="170"/>
      <c r="J610" s="58"/>
      <c r="K610" s="58"/>
    </row>
    <row r="611">
      <c r="A611" s="170"/>
      <c r="J611" s="58"/>
      <c r="K611" s="58"/>
    </row>
    <row r="612">
      <c r="A612" s="170"/>
      <c r="J612" s="58"/>
      <c r="K612" s="58"/>
    </row>
    <row r="613">
      <c r="A613" s="170"/>
      <c r="J613" s="58"/>
      <c r="K613" s="58"/>
    </row>
    <row r="614">
      <c r="A614" s="170"/>
      <c r="J614" s="58"/>
      <c r="K614" s="58"/>
    </row>
    <row r="615">
      <c r="A615" s="170"/>
      <c r="J615" s="58"/>
      <c r="K615" s="58"/>
    </row>
    <row r="616">
      <c r="A616" s="170"/>
      <c r="J616" s="58"/>
      <c r="K616" s="58"/>
    </row>
    <row r="617">
      <c r="A617" s="170"/>
      <c r="J617" s="58"/>
      <c r="K617" s="58"/>
    </row>
    <row r="618">
      <c r="A618" s="170"/>
      <c r="J618" s="58"/>
      <c r="K618" s="58"/>
    </row>
    <row r="619">
      <c r="A619" s="170"/>
      <c r="J619" s="58"/>
      <c r="K619" s="58"/>
    </row>
    <row r="620">
      <c r="A620" s="170"/>
      <c r="J620" s="58"/>
      <c r="K620" s="58"/>
    </row>
    <row r="621">
      <c r="A621" s="170"/>
      <c r="J621" s="58"/>
      <c r="K621" s="58"/>
    </row>
    <row r="622">
      <c r="A622" s="170"/>
      <c r="J622" s="58"/>
      <c r="K622" s="58"/>
    </row>
    <row r="623">
      <c r="A623" s="170"/>
      <c r="J623" s="58"/>
      <c r="K623" s="58"/>
    </row>
    <row r="624">
      <c r="A624" s="170"/>
      <c r="J624" s="58"/>
      <c r="K624" s="58"/>
    </row>
    <row r="625">
      <c r="A625" s="170"/>
      <c r="J625" s="58"/>
      <c r="K625" s="58"/>
    </row>
    <row r="626">
      <c r="A626" s="170"/>
      <c r="J626" s="58"/>
      <c r="K626" s="58"/>
    </row>
    <row r="627">
      <c r="A627" s="170"/>
      <c r="J627" s="58"/>
      <c r="K627" s="58"/>
    </row>
    <row r="628">
      <c r="A628" s="170"/>
      <c r="J628" s="58"/>
      <c r="K628" s="58"/>
    </row>
    <row r="629">
      <c r="A629" s="170"/>
      <c r="J629" s="58"/>
      <c r="K629" s="58"/>
    </row>
    <row r="630">
      <c r="A630" s="170"/>
      <c r="J630" s="58"/>
      <c r="K630" s="58"/>
    </row>
    <row r="631">
      <c r="A631" s="170"/>
      <c r="J631" s="58"/>
      <c r="K631" s="58"/>
    </row>
    <row r="632">
      <c r="A632" s="170"/>
      <c r="J632" s="58"/>
      <c r="K632" s="58"/>
    </row>
    <row r="633">
      <c r="A633" s="170"/>
      <c r="J633" s="58"/>
      <c r="K633" s="58"/>
    </row>
    <row r="634">
      <c r="A634" s="170"/>
      <c r="J634" s="58"/>
      <c r="K634" s="58"/>
    </row>
    <row r="635">
      <c r="A635" s="170"/>
      <c r="J635" s="58"/>
      <c r="K635" s="58"/>
    </row>
    <row r="636">
      <c r="A636" s="170"/>
      <c r="J636" s="58"/>
      <c r="K636" s="58"/>
    </row>
    <row r="637">
      <c r="A637" s="170"/>
      <c r="J637" s="58"/>
      <c r="K637" s="58"/>
    </row>
    <row r="638">
      <c r="A638" s="170"/>
      <c r="J638" s="58"/>
      <c r="K638" s="58"/>
    </row>
    <row r="639">
      <c r="A639" s="170"/>
      <c r="J639" s="58"/>
      <c r="K639" s="58"/>
    </row>
    <row r="640">
      <c r="A640" s="170"/>
      <c r="J640" s="58"/>
      <c r="K640" s="58"/>
    </row>
    <row r="641">
      <c r="A641" s="170"/>
      <c r="J641" s="58"/>
      <c r="K641" s="58"/>
    </row>
    <row r="642">
      <c r="A642" s="170"/>
      <c r="J642" s="58"/>
      <c r="K642" s="58"/>
    </row>
    <row r="643">
      <c r="A643" s="170"/>
      <c r="J643" s="58"/>
      <c r="K643" s="58"/>
    </row>
    <row r="644">
      <c r="A644" s="170"/>
      <c r="J644" s="58"/>
      <c r="K644" s="58"/>
    </row>
    <row r="645">
      <c r="A645" s="170"/>
      <c r="J645" s="58"/>
      <c r="K645" s="58"/>
    </row>
    <row r="646">
      <c r="A646" s="170"/>
      <c r="J646" s="58"/>
      <c r="K646" s="58"/>
    </row>
    <row r="647">
      <c r="A647" s="170"/>
      <c r="J647" s="58"/>
      <c r="K647" s="58"/>
    </row>
    <row r="648">
      <c r="A648" s="170"/>
      <c r="J648" s="58"/>
      <c r="K648" s="58"/>
    </row>
    <row r="649">
      <c r="A649" s="170"/>
      <c r="J649" s="58"/>
      <c r="K649" s="58"/>
    </row>
    <row r="650">
      <c r="A650" s="170"/>
      <c r="J650" s="58"/>
      <c r="K650" s="58"/>
    </row>
    <row r="651">
      <c r="A651" s="170"/>
      <c r="J651" s="58"/>
      <c r="K651" s="58"/>
    </row>
    <row r="652">
      <c r="A652" s="170"/>
      <c r="J652" s="58"/>
      <c r="K652" s="58"/>
    </row>
    <row r="653">
      <c r="A653" s="170"/>
      <c r="J653" s="58"/>
      <c r="K653" s="58"/>
    </row>
    <row r="654">
      <c r="A654" s="170"/>
      <c r="J654" s="58"/>
      <c r="K654" s="58"/>
    </row>
    <row r="655">
      <c r="A655" s="170"/>
      <c r="J655" s="58"/>
      <c r="K655" s="58"/>
    </row>
    <row r="656">
      <c r="A656" s="170"/>
      <c r="J656" s="58"/>
      <c r="K656" s="58"/>
    </row>
    <row r="657">
      <c r="A657" s="170"/>
      <c r="J657" s="58"/>
      <c r="K657" s="58"/>
    </row>
    <row r="658">
      <c r="A658" s="170"/>
      <c r="J658" s="58"/>
      <c r="K658" s="58"/>
    </row>
    <row r="659">
      <c r="A659" s="170"/>
      <c r="J659" s="58"/>
      <c r="K659" s="58"/>
    </row>
    <row r="660">
      <c r="A660" s="170"/>
      <c r="J660" s="58"/>
      <c r="K660" s="58"/>
    </row>
    <row r="661">
      <c r="A661" s="170"/>
      <c r="J661" s="58"/>
      <c r="K661" s="58"/>
    </row>
    <row r="662">
      <c r="A662" s="170"/>
      <c r="J662" s="58"/>
      <c r="K662" s="58"/>
    </row>
    <row r="663">
      <c r="A663" s="170"/>
      <c r="J663" s="58"/>
      <c r="K663" s="58"/>
    </row>
    <row r="664">
      <c r="A664" s="170"/>
      <c r="J664" s="58"/>
      <c r="K664" s="58"/>
    </row>
    <row r="665">
      <c r="A665" s="170"/>
      <c r="J665" s="58"/>
      <c r="K665" s="58"/>
    </row>
    <row r="666">
      <c r="A666" s="170"/>
      <c r="J666" s="58"/>
      <c r="K666" s="58"/>
    </row>
    <row r="667">
      <c r="A667" s="170"/>
      <c r="J667" s="58"/>
      <c r="K667" s="58"/>
    </row>
    <row r="668">
      <c r="A668" s="170"/>
      <c r="J668" s="58"/>
      <c r="K668" s="58"/>
    </row>
    <row r="669">
      <c r="A669" s="170"/>
      <c r="J669" s="58"/>
      <c r="K669" s="58"/>
    </row>
    <row r="670">
      <c r="A670" s="170"/>
      <c r="J670" s="58"/>
      <c r="K670" s="58"/>
    </row>
    <row r="671">
      <c r="A671" s="170"/>
      <c r="J671" s="58"/>
      <c r="K671" s="58"/>
    </row>
    <row r="672">
      <c r="A672" s="170"/>
      <c r="J672" s="58"/>
      <c r="K672" s="58"/>
    </row>
    <row r="673">
      <c r="A673" s="170"/>
      <c r="J673" s="58"/>
      <c r="K673" s="58"/>
    </row>
    <row r="674">
      <c r="A674" s="170"/>
      <c r="J674" s="58"/>
      <c r="K674" s="58"/>
    </row>
    <row r="675">
      <c r="A675" s="170"/>
      <c r="J675" s="58"/>
      <c r="K675" s="58"/>
    </row>
    <row r="676">
      <c r="A676" s="170"/>
      <c r="J676" s="58"/>
      <c r="K676" s="58"/>
    </row>
    <row r="677">
      <c r="A677" s="170"/>
      <c r="J677" s="58"/>
      <c r="K677" s="58"/>
    </row>
    <row r="678">
      <c r="A678" s="170"/>
      <c r="J678" s="58"/>
      <c r="K678" s="58"/>
    </row>
    <row r="679">
      <c r="A679" s="170"/>
      <c r="J679" s="58"/>
      <c r="K679" s="58"/>
    </row>
    <row r="680">
      <c r="A680" s="170"/>
      <c r="J680" s="58"/>
      <c r="K680" s="58"/>
    </row>
    <row r="681">
      <c r="A681" s="170"/>
      <c r="J681" s="58"/>
      <c r="K681" s="58"/>
    </row>
    <row r="682">
      <c r="A682" s="170"/>
      <c r="J682" s="58"/>
      <c r="K682" s="58"/>
    </row>
    <row r="683">
      <c r="A683" s="170"/>
      <c r="J683" s="58"/>
      <c r="K683" s="58"/>
    </row>
    <row r="684">
      <c r="A684" s="170"/>
      <c r="J684" s="58"/>
      <c r="K684" s="58"/>
    </row>
    <row r="685">
      <c r="A685" s="170"/>
      <c r="J685" s="58"/>
      <c r="K685" s="58"/>
    </row>
    <row r="686">
      <c r="A686" s="170"/>
      <c r="J686" s="58"/>
      <c r="K686" s="58"/>
    </row>
    <row r="687">
      <c r="A687" s="170"/>
      <c r="J687" s="58"/>
      <c r="K687" s="58"/>
    </row>
    <row r="688">
      <c r="A688" s="170"/>
      <c r="J688" s="58"/>
      <c r="K688" s="58"/>
    </row>
    <row r="689">
      <c r="A689" s="170"/>
      <c r="J689" s="58"/>
      <c r="K689" s="58"/>
    </row>
    <row r="690">
      <c r="A690" s="170"/>
      <c r="J690" s="58"/>
      <c r="K690" s="58"/>
    </row>
    <row r="691">
      <c r="A691" s="170"/>
      <c r="J691" s="58"/>
      <c r="K691" s="58"/>
    </row>
    <row r="692">
      <c r="A692" s="170"/>
      <c r="J692" s="58"/>
      <c r="K692" s="58"/>
    </row>
    <row r="693">
      <c r="A693" s="170"/>
      <c r="J693" s="58"/>
      <c r="K693" s="58"/>
    </row>
    <row r="694">
      <c r="A694" s="170"/>
      <c r="J694" s="58"/>
      <c r="K694" s="58"/>
    </row>
    <row r="695">
      <c r="A695" s="170"/>
      <c r="J695" s="58"/>
      <c r="K695" s="58"/>
    </row>
    <row r="696">
      <c r="A696" s="170"/>
      <c r="J696" s="58"/>
      <c r="K696" s="58"/>
    </row>
    <row r="697">
      <c r="A697" s="170"/>
      <c r="J697" s="58"/>
      <c r="K697" s="58"/>
    </row>
    <row r="698">
      <c r="A698" s="170"/>
      <c r="J698" s="58"/>
      <c r="K698" s="58"/>
    </row>
    <row r="699">
      <c r="A699" s="170"/>
      <c r="J699" s="58"/>
      <c r="K699" s="58"/>
    </row>
    <row r="700">
      <c r="A700" s="170"/>
      <c r="J700" s="58"/>
      <c r="K700" s="58"/>
    </row>
    <row r="701">
      <c r="A701" s="170"/>
      <c r="J701" s="58"/>
      <c r="K701" s="58"/>
    </row>
    <row r="702">
      <c r="A702" s="170"/>
      <c r="J702" s="58"/>
      <c r="K702" s="58"/>
    </row>
    <row r="703">
      <c r="A703" s="170"/>
      <c r="J703" s="58"/>
      <c r="K703" s="58"/>
    </row>
    <row r="704">
      <c r="A704" s="170"/>
      <c r="J704" s="58"/>
      <c r="K704" s="58"/>
    </row>
    <row r="705">
      <c r="A705" s="170"/>
      <c r="J705" s="58"/>
      <c r="K705" s="58"/>
    </row>
    <row r="706">
      <c r="A706" s="170"/>
      <c r="J706" s="58"/>
      <c r="K706" s="58"/>
    </row>
    <row r="707">
      <c r="A707" s="170"/>
      <c r="J707" s="58"/>
      <c r="K707" s="58"/>
    </row>
    <row r="708">
      <c r="A708" s="170"/>
      <c r="J708" s="58"/>
      <c r="K708" s="58"/>
    </row>
    <row r="709">
      <c r="A709" s="170"/>
      <c r="J709" s="58"/>
      <c r="K709" s="58"/>
    </row>
    <row r="710">
      <c r="A710" s="170"/>
      <c r="J710" s="58"/>
      <c r="K710" s="58"/>
    </row>
    <row r="711">
      <c r="A711" s="170"/>
      <c r="J711" s="58"/>
      <c r="K711" s="58"/>
    </row>
    <row r="712">
      <c r="A712" s="170"/>
      <c r="J712" s="58"/>
      <c r="K712" s="58"/>
    </row>
    <row r="713">
      <c r="A713" s="170"/>
      <c r="J713" s="58"/>
      <c r="K713" s="58"/>
    </row>
    <row r="714">
      <c r="A714" s="170"/>
      <c r="J714" s="58"/>
      <c r="K714" s="58"/>
    </row>
    <row r="715">
      <c r="A715" s="170"/>
      <c r="J715" s="58"/>
      <c r="K715" s="58"/>
    </row>
    <row r="716">
      <c r="A716" s="170"/>
      <c r="J716" s="58"/>
      <c r="K716" s="58"/>
    </row>
    <row r="717">
      <c r="A717" s="170"/>
      <c r="J717" s="58"/>
      <c r="K717" s="58"/>
    </row>
    <row r="718">
      <c r="A718" s="170"/>
      <c r="J718" s="58"/>
      <c r="K718" s="58"/>
    </row>
    <row r="719">
      <c r="A719" s="170"/>
      <c r="J719" s="58"/>
      <c r="K719" s="58"/>
    </row>
    <row r="720">
      <c r="A720" s="170"/>
      <c r="J720" s="58"/>
      <c r="K720" s="58"/>
    </row>
    <row r="721">
      <c r="A721" s="170"/>
      <c r="J721" s="58"/>
      <c r="K721" s="58"/>
    </row>
    <row r="722">
      <c r="A722" s="170"/>
      <c r="J722" s="58"/>
      <c r="K722" s="58"/>
    </row>
    <row r="723">
      <c r="A723" s="170"/>
      <c r="J723" s="58"/>
      <c r="K723" s="58"/>
    </row>
    <row r="724">
      <c r="A724" s="170"/>
      <c r="J724" s="58"/>
      <c r="K724" s="58"/>
    </row>
    <row r="725">
      <c r="A725" s="170"/>
      <c r="J725" s="58"/>
      <c r="K725" s="58"/>
    </row>
    <row r="726">
      <c r="A726" s="170"/>
      <c r="J726" s="58"/>
      <c r="K726" s="58"/>
    </row>
    <row r="727">
      <c r="A727" s="170"/>
      <c r="J727" s="58"/>
      <c r="K727" s="58"/>
    </row>
    <row r="728">
      <c r="A728" s="170"/>
      <c r="D728" s="171"/>
      <c r="J728" s="58"/>
      <c r="K728" s="58"/>
    </row>
    <row r="729">
      <c r="A729" s="170"/>
      <c r="J729" s="58"/>
      <c r="K729" s="58"/>
    </row>
    <row r="730">
      <c r="A730" s="170"/>
      <c r="J730" s="58"/>
      <c r="K730" s="58"/>
    </row>
    <row r="731">
      <c r="A731" s="170"/>
      <c r="J731" s="58"/>
      <c r="K731" s="58"/>
    </row>
    <row r="732">
      <c r="A732" s="170"/>
      <c r="J732" s="58"/>
      <c r="K732" s="58"/>
    </row>
    <row r="733">
      <c r="A733" s="170"/>
      <c r="J733" s="58"/>
      <c r="K733" s="58"/>
    </row>
    <row r="734">
      <c r="A734" s="170"/>
      <c r="J734" s="58"/>
      <c r="K734" s="58"/>
    </row>
    <row r="735">
      <c r="A735" s="170"/>
      <c r="J735" s="58"/>
      <c r="K735" s="58"/>
    </row>
    <row r="736">
      <c r="A736" s="170"/>
      <c r="J736" s="58"/>
      <c r="K736" s="58"/>
    </row>
    <row r="737">
      <c r="A737" s="170"/>
      <c r="J737" s="58"/>
      <c r="K737" s="58"/>
    </row>
    <row r="738">
      <c r="A738" s="170"/>
      <c r="J738" s="58"/>
      <c r="K738" s="58"/>
    </row>
    <row r="739">
      <c r="A739" s="170"/>
      <c r="J739" s="58"/>
      <c r="K739" s="58"/>
    </row>
    <row r="740">
      <c r="A740" s="170"/>
      <c r="J740" s="58"/>
      <c r="K740" s="58"/>
    </row>
    <row r="741">
      <c r="A741" s="170"/>
      <c r="J741" s="58"/>
      <c r="K741" s="58"/>
    </row>
    <row r="742">
      <c r="A742" s="170"/>
      <c r="J742" s="58"/>
      <c r="K742" s="58"/>
    </row>
    <row r="743">
      <c r="A743" s="170"/>
      <c r="J743" s="58"/>
      <c r="K743" s="58"/>
    </row>
    <row r="744">
      <c r="A744" s="170"/>
      <c r="J744" s="58"/>
      <c r="K744" s="58"/>
    </row>
    <row r="745">
      <c r="A745" s="170"/>
      <c r="J745" s="58"/>
      <c r="K745" s="58"/>
    </row>
    <row r="746">
      <c r="A746" s="170"/>
      <c r="J746" s="58"/>
      <c r="K746" s="58"/>
    </row>
    <row r="747">
      <c r="A747" s="170"/>
      <c r="J747" s="58"/>
      <c r="K747" s="58"/>
    </row>
    <row r="748">
      <c r="A748" s="170"/>
      <c r="J748" s="58"/>
      <c r="K748" s="58"/>
    </row>
    <row r="749">
      <c r="A749" s="170"/>
      <c r="J749" s="58"/>
      <c r="K749" s="58"/>
    </row>
    <row r="750">
      <c r="A750" s="170"/>
      <c r="J750" s="58"/>
      <c r="K750" s="58"/>
    </row>
    <row r="751">
      <c r="A751" s="170"/>
      <c r="J751" s="58"/>
      <c r="K751" s="58"/>
    </row>
    <row r="752">
      <c r="A752" s="170"/>
      <c r="J752" s="58"/>
      <c r="K752" s="58"/>
    </row>
    <row r="753">
      <c r="A753" s="170"/>
      <c r="J753" s="58"/>
      <c r="K753" s="58"/>
    </row>
    <row r="754">
      <c r="A754" s="170"/>
      <c r="J754" s="58"/>
      <c r="K754" s="58"/>
    </row>
    <row r="755">
      <c r="A755" s="170"/>
      <c r="J755" s="58"/>
      <c r="K755" s="58"/>
    </row>
    <row r="756">
      <c r="A756" s="170"/>
      <c r="J756" s="58"/>
      <c r="K756" s="58"/>
    </row>
    <row r="757">
      <c r="A757" s="170"/>
      <c r="J757" s="58"/>
      <c r="K757" s="58"/>
    </row>
    <row r="758">
      <c r="A758" s="170"/>
      <c r="J758" s="58"/>
      <c r="K758" s="58"/>
    </row>
    <row r="759">
      <c r="A759" s="170"/>
      <c r="J759" s="58"/>
      <c r="K759" s="58"/>
    </row>
    <row r="760">
      <c r="A760" s="170"/>
      <c r="J760" s="58"/>
      <c r="K760" s="58"/>
    </row>
    <row r="761">
      <c r="A761" s="170"/>
      <c r="J761" s="58"/>
      <c r="K761" s="58"/>
    </row>
    <row r="762">
      <c r="A762" s="170"/>
      <c r="J762" s="58"/>
      <c r="K762" s="58"/>
    </row>
    <row r="763">
      <c r="A763" s="170"/>
      <c r="J763" s="58"/>
      <c r="K763" s="58"/>
    </row>
    <row r="764">
      <c r="A764" s="170"/>
      <c r="J764" s="58"/>
      <c r="K764" s="58"/>
    </row>
    <row r="765">
      <c r="A765" s="170"/>
      <c r="J765" s="58"/>
      <c r="K765" s="58"/>
    </row>
    <row r="766">
      <c r="A766" s="170"/>
      <c r="J766" s="58"/>
      <c r="K766" s="58"/>
    </row>
    <row r="767">
      <c r="A767" s="170"/>
      <c r="J767" s="58"/>
      <c r="K767" s="58"/>
    </row>
    <row r="768">
      <c r="A768" s="170"/>
      <c r="J768" s="58"/>
      <c r="K768" s="58"/>
    </row>
    <row r="769">
      <c r="A769" s="170"/>
      <c r="J769" s="58"/>
      <c r="K769" s="58"/>
    </row>
    <row r="770">
      <c r="A770" s="170"/>
      <c r="J770" s="58"/>
      <c r="K770" s="58"/>
    </row>
    <row r="771">
      <c r="A771" s="170"/>
      <c r="J771" s="58"/>
      <c r="K771" s="58"/>
    </row>
    <row r="772">
      <c r="A772" s="170"/>
      <c r="J772" s="58"/>
      <c r="K772" s="58"/>
    </row>
    <row r="773">
      <c r="A773" s="170"/>
      <c r="J773" s="58"/>
      <c r="K773" s="58"/>
    </row>
    <row r="774">
      <c r="A774" s="170"/>
      <c r="J774" s="58"/>
      <c r="K774" s="58"/>
    </row>
    <row r="775">
      <c r="A775" s="170"/>
      <c r="J775" s="58"/>
      <c r="K775" s="58"/>
    </row>
    <row r="776">
      <c r="A776" s="170"/>
      <c r="J776" s="58"/>
      <c r="K776" s="58"/>
    </row>
    <row r="777">
      <c r="A777" s="170"/>
      <c r="J777" s="58"/>
      <c r="K777" s="58"/>
    </row>
    <row r="778">
      <c r="A778" s="170"/>
      <c r="J778" s="58"/>
      <c r="K778" s="58"/>
    </row>
    <row r="779">
      <c r="A779" s="170"/>
      <c r="J779" s="58"/>
      <c r="K779" s="58"/>
    </row>
    <row r="780">
      <c r="A780" s="170"/>
      <c r="J780" s="58"/>
      <c r="K780" s="58"/>
    </row>
    <row r="781">
      <c r="A781" s="170"/>
      <c r="J781" s="58"/>
      <c r="K781" s="58"/>
    </row>
    <row r="782">
      <c r="A782" s="170"/>
      <c r="J782" s="58"/>
      <c r="K782" s="58"/>
    </row>
    <row r="783">
      <c r="A783" s="170"/>
      <c r="J783" s="58"/>
      <c r="K783" s="58"/>
    </row>
    <row r="784">
      <c r="A784" s="170"/>
      <c r="J784" s="58"/>
      <c r="K784" s="58"/>
    </row>
    <row r="785">
      <c r="A785" s="170"/>
      <c r="J785" s="58"/>
      <c r="K785" s="58"/>
    </row>
    <row r="786">
      <c r="A786" s="170"/>
      <c r="J786" s="58"/>
      <c r="K786" s="58"/>
    </row>
    <row r="787">
      <c r="A787" s="170"/>
      <c r="J787" s="58"/>
      <c r="K787" s="58"/>
    </row>
    <row r="788">
      <c r="A788" s="170"/>
      <c r="J788" s="58"/>
      <c r="K788" s="58"/>
    </row>
    <row r="789">
      <c r="A789" s="170"/>
      <c r="J789" s="58"/>
      <c r="K789" s="58"/>
    </row>
    <row r="790">
      <c r="A790" s="170"/>
      <c r="J790" s="58"/>
      <c r="K790" s="58"/>
    </row>
    <row r="791">
      <c r="A791" s="170"/>
      <c r="J791" s="58"/>
      <c r="K791" s="58"/>
    </row>
    <row r="792">
      <c r="A792" s="170"/>
      <c r="J792" s="58"/>
      <c r="K792" s="58"/>
    </row>
    <row r="793">
      <c r="A793" s="170"/>
      <c r="J793" s="58"/>
      <c r="K793" s="58"/>
    </row>
    <row r="794">
      <c r="A794" s="170"/>
      <c r="J794" s="58"/>
      <c r="K794" s="58"/>
    </row>
    <row r="795">
      <c r="A795" s="170"/>
      <c r="J795" s="58"/>
      <c r="K795" s="58"/>
    </row>
    <row r="796">
      <c r="A796" s="170"/>
      <c r="J796" s="58"/>
      <c r="K796" s="58"/>
    </row>
    <row r="797">
      <c r="A797" s="170"/>
      <c r="J797" s="58"/>
      <c r="K797" s="58"/>
    </row>
    <row r="798">
      <c r="A798" s="170"/>
      <c r="J798" s="58"/>
      <c r="K798" s="58"/>
    </row>
    <row r="799">
      <c r="A799" s="170"/>
      <c r="J799" s="58"/>
      <c r="K799" s="58"/>
    </row>
    <row r="800">
      <c r="A800" s="170"/>
      <c r="J800" s="58"/>
      <c r="K800" s="58"/>
    </row>
    <row r="801">
      <c r="A801" s="170"/>
      <c r="J801" s="58"/>
      <c r="K801" s="58"/>
    </row>
    <row r="802">
      <c r="A802" s="170"/>
      <c r="J802" s="58"/>
      <c r="K802" s="58"/>
    </row>
    <row r="803">
      <c r="A803" s="170"/>
      <c r="J803" s="58"/>
      <c r="K803" s="58"/>
    </row>
    <row r="804">
      <c r="A804" s="170"/>
      <c r="J804" s="58"/>
      <c r="K804" s="58"/>
    </row>
    <row r="805">
      <c r="A805" s="170"/>
      <c r="J805" s="58"/>
      <c r="K805" s="58"/>
    </row>
    <row r="806">
      <c r="A806" s="170"/>
      <c r="J806" s="58"/>
      <c r="K806" s="58"/>
    </row>
    <row r="807">
      <c r="A807" s="170"/>
      <c r="J807" s="58"/>
      <c r="K807" s="58"/>
    </row>
    <row r="808">
      <c r="A808" s="170"/>
      <c r="J808" s="58"/>
      <c r="K808" s="58"/>
    </row>
    <row r="809">
      <c r="A809" s="170"/>
      <c r="J809" s="58"/>
      <c r="K809" s="58"/>
    </row>
    <row r="810">
      <c r="A810" s="170"/>
      <c r="J810" s="58"/>
      <c r="K810" s="58"/>
    </row>
    <row r="811">
      <c r="A811" s="170"/>
      <c r="J811" s="58"/>
      <c r="K811" s="58"/>
    </row>
    <row r="812">
      <c r="A812" s="170"/>
      <c r="J812" s="58"/>
      <c r="K812" s="58"/>
    </row>
    <row r="813">
      <c r="A813" s="170"/>
      <c r="J813" s="58"/>
      <c r="K813" s="58"/>
    </row>
    <row r="814">
      <c r="A814" s="170"/>
      <c r="J814" s="58"/>
      <c r="K814" s="58"/>
    </row>
    <row r="815">
      <c r="A815" s="170"/>
      <c r="J815" s="58"/>
      <c r="K815" s="58"/>
    </row>
    <row r="816">
      <c r="A816" s="170"/>
      <c r="J816" s="58"/>
      <c r="K816" s="58"/>
    </row>
    <row r="817">
      <c r="A817" s="170"/>
      <c r="J817" s="58"/>
      <c r="K817" s="58"/>
    </row>
    <row r="818">
      <c r="A818" s="170"/>
      <c r="J818" s="58"/>
      <c r="K818" s="58"/>
    </row>
    <row r="819">
      <c r="A819" s="170"/>
      <c r="J819" s="58"/>
      <c r="K819" s="58"/>
    </row>
    <row r="820">
      <c r="A820" s="170"/>
      <c r="J820" s="58"/>
      <c r="K820" s="58"/>
    </row>
    <row r="821">
      <c r="A821" s="170"/>
      <c r="J821" s="58"/>
      <c r="K821" s="58"/>
    </row>
    <row r="822">
      <c r="A822" s="170"/>
      <c r="J822" s="58"/>
      <c r="K822" s="58"/>
    </row>
    <row r="823">
      <c r="A823" s="170"/>
      <c r="J823" s="58"/>
      <c r="K823" s="58"/>
    </row>
    <row r="824">
      <c r="A824" s="170"/>
      <c r="J824" s="58"/>
      <c r="K824" s="58"/>
    </row>
    <row r="825">
      <c r="A825" s="170"/>
      <c r="J825" s="58"/>
      <c r="K825" s="58"/>
    </row>
    <row r="826">
      <c r="A826" s="170"/>
      <c r="J826" s="58"/>
      <c r="K826" s="58"/>
    </row>
    <row r="827">
      <c r="A827" s="170"/>
      <c r="J827" s="58"/>
      <c r="K827" s="58"/>
    </row>
    <row r="828">
      <c r="A828" s="170"/>
      <c r="J828" s="58"/>
      <c r="K828" s="58"/>
    </row>
    <row r="829">
      <c r="A829" s="170"/>
      <c r="J829" s="58"/>
      <c r="K829" s="58"/>
    </row>
    <row r="830">
      <c r="A830" s="170"/>
      <c r="J830" s="58"/>
      <c r="K830" s="58"/>
    </row>
    <row r="831">
      <c r="A831" s="170"/>
      <c r="J831" s="58"/>
      <c r="K831" s="58"/>
    </row>
    <row r="832">
      <c r="A832" s="170"/>
      <c r="J832" s="58"/>
      <c r="K832" s="58"/>
    </row>
    <row r="833">
      <c r="A833" s="170"/>
      <c r="J833" s="58"/>
      <c r="K833" s="58"/>
    </row>
    <row r="834">
      <c r="A834" s="170"/>
      <c r="J834" s="58"/>
      <c r="K834" s="58"/>
    </row>
    <row r="835">
      <c r="A835" s="170"/>
      <c r="J835" s="58"/>
      <c r="K835" s="58"/>
    </row>
    <row r="836">
      <c r="A836" s="170"/>
      <c r="J836" s="58"/>
      <c r="K836" s="58"/>
    </row>
    <row r="837">
      <c r="A837" s="170"/>
      <c r="J837" s="58"/>
      <c r="K837" s="58"/>
    </row>
    <row r="838">
      <c r="A838" s="170"/>
      <c r="J838" s="58"/>
      <c r="K838" s="58"/>
    </row>
    <row r="839">
      <c r="A839" s="170"/>
      <c r="J839" s="58"/>
      <c r="K839" s="58"/>
    </row>
    <row r="840">
      <c r="A840" s="170"/>
      <c r="J840" s="58"/>
      <c r="K840" s="58"/>
    </row>
    <row r="841">
      <c r="A841" s="170"/>
      <c r="J841" s="58"/>
      <c r="K841" s="58"/>
    </row>
    <row r="842">
      <c r="A842" s="170"/>
      <c r="J842" s="58"/>
      <c r="K842" s="58"/>
    </row>
    <row r="843">
      <c r="A843" s="170"/>
      <c r="J843" s="58"/>
      <c r="K843" s="58"/>
    </row>
    <row r="844">
      <c r="A844" s="170"/>
      <c r="J844" s="58"/>
      <c r="K844" s="58"/>
    </row>
    <row r="845">
      <c r="A845" s="170"/>
      <c r="J845" s="58"/>
      <c r="K845" s="58"/>
    </row>
    <row r="846">
      <c r="A846" s="170"/>
      <c r="J846" s="58"/>
      <c r="K846" s="172"/>
    </row>
    <row r="847">
      <c r="A847" s="170"/>
      <c r="J847" s="58"/>
      <c r="K847" s="172"/>
    </row>
    <row r="848">
      <c r="A848" s="170"/>
      <c r="J848" s="58"/>
      <c r="K848" s="172"/>
    </row>
    <row r="849">
      <c r="A849" s="170"/>
      <c r="J849" s="58"/>
      <c r="K849" s="172"/>
    </row>
    <row r="850">
      <c r="A850" s="170"/>
      <c r="J850" s="58"/>
      <c r="K850" s="172"/>
    </row>
    <row r="851">
      <c r="A851" s="170"/>
      <c r="J851" s="58"/>
      <c r="K851" s="172"/>
    </row>
    <row r="852">
      <c r="A852" s="170"/>
      <c r="J852" s="58"/>
      <c r="K852" s="172"/>
    </row>
    <row r="853">
      <c r="A853" s="170"/>
      <c r="J853" s="58"/>
      <c r="K853" s="172"/>
    </row>
    <row r="854">
      <c r="A854" s="170"/>
      <c r="J854" s="58"/>
      <c r="K854" s="172"/>
    </row>
    <row r="855">
      <c r="A855" s="170"/>
      <c r="J855" s="58"/>
      <c r="K855" s="172"/>
    </row>
    <row r="856">
      <c r="A856" s="170"/>
      <c r="J856" s="58"/>
      <c r="K856" s="172"/>
    </row>
    <row r="857">
      <c r="A857" s="170"/>
      <c r="J857" s="58"/>
      <c r="K857" s="172"/>
    </row>
    <row r="858">
      <c r="A858" s="170"/>
      <c r="J858" s="58"/>
      <c r="K858" s="172"/>
    </row>
    <row r="859">
      <c r="A859" s="170"/>
      <c r="J859" s="58"/>
      <c r="K859" s="172"/>
    </row>
    <row r="860">
      <c r="A860" s="170"/>
      <c r="J860" s="58"/>
      <c r="K860" s="172"/>
    </row>
    <row r="861">
      <c r="A861" s="170"/>
      <c r="J861" s="58"/>
      <c r="K861" s="172"/>
    </row>
    <row r="862">
      <c r="A862" s="170"/>
      <c r="J862" s="58"/>
      <c r="K862" s="172"/>
    </row>
    <row r="863">
      <c r="A863" s="170"/>
      <c r="J863" s="58"/>
      <c r="K863" s="172"/>
    </row>
    <row r="864">
      <c r="A864" s="170"/>
      <c r="J864" s="58"/>
      <c r="K864" s="172"/>
    </row>
    <row r="865">
      <c r="A865" s="170"/>
      <c r="J865" s="58"/>
      <c r="K865" s="172"/>
    </row>
    <row r="866">
      <c r="A866" s="170"/>
      <c r="J866" s="58"/>
      <c r="K866" s="172"/>
    </row>
    <row r="867">
      <c r="A867" s="170"/>
      <c r="J867" s="58"/>
      <c r="K867" s="172"/>
    </row>
    <row r="868">
      <c r="A868" s="170"/>
      <c r="J868" s="58"/>
      <c r="K868" s="172"/>
    </row>
    <row r="869">
      <c r="A869" s="170"/>
      <c r="J869" s="58"/>
      <c r="K869" s="172"/>
    </row>
    <row r="870">
      <c r="A870" s="170"/>
      <c r="J870" s="58"/>
      <c r="K870" s="172"/>
    </row>
    <row r="871">
      <c r="A871" s="170"/>
      <c r="J871" s="58"/>
      <c r="K871" s="172"/>
    </row>
    <row r="872">
      <c r="A872" s="170"/>
      <c r="J872" s="58"/>
      <c r="K872" s="172"/>
    </row>
    <row r="873">
      <c r="A873" s="170"/>
      <c r="J873" s="58"/>
      <c r="K873" s="172"/>
    </row>
    <row r="874">
      <c r="A874" s="170"/>
      <c r="J874" s="58"/>
      <c r="K874" s="172"/>
    </row>
    <row r="875">
      <c r="A875" s="170"/>
      <c r="J875" s="58"/>
      <c r="K875" s="172"/>
    </row>
    <row r="876">
      <c r="A876" s="170"/>
      <c r="J876" s="58"/>
      <c r="K876" s="172"/>
    </row>
    <row r="877">
      <c r="A877" s="170"/>
      <c r="J877" s="58"/>
      <c r="K877" s="172"/>
    </row>
    <row r="878">
      <c r="A878" s="170"/>
      <c r="J878" s="58"/>
      <c r="K878" s="172"/>
    </row>
    <row r="879">
      <c r="A879" s="170"/>
      <c r="J879" s="58"/>
      <c r="K879" s="172"/>
    </row>
    <row r="880">
      <c r="A880" s="170"/>
      <c r="J880" s="58"/>
      <c r="K880" s="172"/>
    </row>
    <row r="881">
      <c r="A881" s="170"/>
      <c r="J881" s="58"/>
      <c r="K881" s="172"/>
    </row>
    <row r="882">
      <c r="A882" s="170"/>
      <c r="J882" s="58"/>
      <c r="K882" s="172"/>
    </row>
    <row r="883">
      <c r="A883" s="170"/>
      <c r="J883" s="58"/>
      <c r="K883" s="172"/>
    </row>
    <row r="884">
      <c r="A884" s="170"/>
      <c r="J884" s="58"/>
      <c r="K884" s="172"/>
    </row>
    <row r="885">
      <c r="A885" s="170"/>
      <c r="J885" s="58"/>
      <c r="K885" s="172"/>
    </row>
    <row r="886">
      <c r="A886" s="170"/>
      <c r="J886" s="58"/>
      <c r="K886" s="172"/>
    </row>
    <row r="887">
      <c r="A887" s="170"/>
      <c r="J887" s="58"/>
      <c r="K887" s="172"/>
    </row>
    <row r="888">
      <c r="A888" s="170"/>
      <c r="J888" s="58"/>
      <c r="K888" s="172"/>
    </row>
    <row r="889">
      <c r="A889" s="170"/>
      <c r="J889" s="58"/>
      <c r="K889" s="172"/>
    </row>
    <row r="890">
      <c r="A890" s="170"/>
      <c r="J890" s="58"/>
      <c r="K890" s="172"/>
    </row>
    <row r="891">
      <c r="A891" s="170"/>
      <c r="J891" s="58"/>
      <c r="K891" s="172"/>
    </row>
    <row r="892">
      <c r="A892" s="170"/>
      <c r="J892" s="58"/>
      <c r="K892" s="172"/>
    </row>
    <row r="893">
      <c r="A893" s="170"/>
      <c r="J893" s="58"/>
      <c r="K893" s="172"/>
    </row>
    <row r="894">
      <c r="A894" s="170"/>
      <c r="J894" s="58"/>
      <c r="K894" s="172"/>
    </row>
    <row r="895">
      <c r="A895" s="170"/>
      <c r="J895" s="58"/>
      <c r="K895" s="172"/>
    </row>
    <row r="896">
      <c r="A896" s="170"/>
      <c r="J896" s="58"/>
      <c r="K896" s="172"/>
    </row>
    <row r="897">
      <c r="A897" s="170"/>
      <c r="J897" s="58"/>
      <c r="K897" s="172"/>
    </row>
    <row r="898">
      <c r="A898" s="170"/>
      <c r="J898" s="58"/>
      <c r="K898" s="172"/>
    </row>
    <row r="899">
      <c r="A899" s="170"/>
      <c r="J899" s="58"/>
      <c r="K899" s="172"/>
    </row>
    <row r="900">
      <c r="A900" s="170"/>
      <c r="J900" s="58"/>
      <c r="K900" s="172"/>
    </row>
    <row r="901">
      <c r="A901" s="170"/>
      <c r="J901" s="58"/>
      <c r="K901" s="172"/>
    </row>
    <row r="902">
      <c r="A902" s="170"/>
      <c r="J902" s="58"/>
      <c r="K902" s="172"/>
    </row>
    <row r="903">
      <c r="A903" s="170"/>
      <c r="J903" s="58"/>
      <c r="K903" s="172"/>
    </row>
    <row r="904">
      <c r="A904" s="170"/>
      <c r="J904" s="58"/>
      <c r="K904" s="172"/>
    </row>
    <row r="905">
      <c r="A905" s="170"/>
      <c r="J905" s="58"/>
      <c r="K905" s="172"/>
    </row>
    <row r="906">
      <c r="A906" s="170"/>
      <c r="J906" s="58"/>
      <c r="K906" s="172"/>
    </row>
    <row r="907">
      <c r="A907" s="170"/>
      <c r="J907" s="58"/>
      <c r="K907" s="172"/>
    </row>
    <row r="908">
      <c r="A908" s="170"/>
      <c r="J908" s="58"/>
      <c r="K908" s="172"/>
    </row>
    <row r="909">
      <c r="A909" s="170"/>
      <c r="J909" s="58"/>
      <c r="K909" s="172"/>
    </row>
    <row r="910">
      <c r="A910" s="170"/>
      <c r="J910" s="58"/>
      <c r="K910" s="172"/>
    </row>
    <row r="911">
      <c r="A911" s="170"/>
      <c r="J911" s="58"/>
      <c r="K911" s="172"/>
    </row>
    <row r="912">
      <c r="A912" s="170"/>
      <c r="J912" s="58"/>
      <c r="K912" s="172"/>
    </row>
    <row r="913">
      <c r="A913" s="170"/>
      <c r="J913" s="58"/>
      <c r="K913" s="172"/>
    </row>
    <row r="914">
      <c r="A914" s="170"/>
      <c r="J914" s="58"/>
      <c r="K914" s="172"/>
    </row>
    <row r="915">
      <c r="A915" s="170"/>
      <c r="J915" s="58"/>
      <c r="K915" s="172"/>
    </row>
    <row r="916">
      <c r="A916" s="170"/>
      <c r="J916" s="58"/>
      <c r="K916" s="172"/>
    </row>
    <row r="917">
      <c r="A917" s="170"/>
      <c r="J917" s="58"/>
      <c r="K917" s="172"/>
    </row>
    <row r="918">
      <c r="A918" s="170"/>
      <c r="J918" s="58"/>
      <c r="K918" s="172"/>
    </row>
    <row r="919">
      <c r="A919" s="170"/>
      <c r="J919" s="58"/>
      <c r="K919" s="172"/>
    </row>
    <row r="920">
      <c r="A920" s="170"/>
      <c r="J920" s="58"/>
      <c r="K920" s="172"/>
    </row>
    <row r="921">
      <c r="A921" s="170"/>
      <c r="J921" s="58"/>
      <c r="K921" s="172"/>
    </row>
    <row r="922">
      <c r="A922" s="170"/>
      <c r="J922" s="58"/>
      <c r="K922" s="172"/>
    </row>
    <row r="923">
      <c r="A923" s="170"/>
      <c r="J923" s="58"/>
      <c r="K923" s="172"/>
    </row>
    <row r="924">
      <c r="A924" s="170"/>
      <c r="J924" s="58"/>
      <c r="K924" s="172"/>
    </row>
    <row r="925">
      <c r="A925" s="170"/>
      <c r="J925" s="58"/>
      <c r="K925" s="172"/>
    </row>
    <row r="926">
      <c r="A926" s="170"/>
      <c r="J926" s="58"/>
      <c r="K926" s="172"/>
    </row>
    <row r="927">
      <c r="A927" s="170"/>
      <c r="J927" s="58"/>
      <c r="K927" s="172"/>
    </row>
    <row r="928">
      <c r="A928" s="170"/>
      <c r="J928" s="58"/>
      <c r="K928" s="172"/>
    </row>
    <row r="929">
      <c r="A929" s="170"/>
      <c r="J929" s="58"/>
      <c r="K929" s="172"/>
    </row>
    <row r="930">
      <c r="A930" s="170"/>
      <c r="J930" s="58"/>
      <c r="K930" s="172"/>
    </row>
    <row r="931">
      <c r="A931" s="170"/>
      <c r="J931" s="58"/>
      <c r="K931" s="172"/>
    </row>
    <row r="932">
      <c r="A932" s="170"/>
      <c r="J932" s="58"/>
      <c r="K932" s="172"/>
    </row>
    <row r="933">
      <c r="A933" s="170"/>
      <c r="J933" s="58"/>
      <c r="K933" s="172"/>
    </row>
    <row r="934">
      <c r="A934" s="170"/>
      <c r="J934" s="58"/>
      <c r="K934" s="172"/>
    </row>
    <row r="935">
      <c r="A935" s="170"/>
      <c r="J935" s="58"/>
      <c r="K935" s="172"/>
    </row>
    <row r="936">
      <c r="A936" s="170"/>
      <c r="J936" s="58"/>
      <c r="K936" s="172"/>
    </row>
    <row r="937">
      <c r="A937" s="170"/>
      <c r="J937" s="58"/>
      <c r="K937" s="172"/>
    </row>
    <row r="938">
      <c r="A938" s="170"/>
      <c r="J938" s="58"/>
      <c r="K938" s="172"/>
    </row>
    <row r="939">
      <c r="A939" s="170"/>
      <c r="J939" s="58"/>
      <c r="K939" s="172"/>
    </row>
    <row r="940">
      <c r="A940" s="170"/>
      <c r="J940" s="58"/>
      <c r="K940" s="172"/>
    </row>
    <row r="941">
      <c r="A941" s="170"/>
      <c r="J941" s="58"/>
      <c r="K941" s="172"/>
    </row>
    <row r="942">
      <c r="A942" s="170"/>
      <c r="J942" s="58"/>
      <c r="K942" s="172"/>
    </row>
    <row r="943">
      <c r="A943" s="170"/>
      <c r="J943" s="58"/>
      <c r="K943" s="172"/>
    </row>
    <row r="944">
      <c r="A944" s="170"/>
      <c r="J944" s="58"/>
      <c r="K944" s="172"/>
    </row>
    <row r="945">
      <c r="A945" s="170"/>
      <c r="J945" s="58"/>
      <c r="K945" s="172"/>
    </row>
    <row r="946">
      <c r="A946" s="170"/>
      <c r="J946" s="58"/>
      <c r="K946" s="172"/>
    </row>
    <row r="947">
      <c r="A947" s="170"/>
      <c r="J947" s="58"/>
      <c r="K947" s="172"/>
    </row>
    <row r="948">
      <c r="A948" s="170"/>
      <c r="J948" s="58"/>
      <c r="K948" s="172"/>
    </row>
    <row r="949">
      <c r="A949" s="170"/>
      <c r="J949" s="58"/>
      <c r="K949" s="172"/>
    </row>
    <row r="950">
      <c r="A950" s="170"/>
      <c r="J950" s="58"/>
      <c r="K950" s="172"/>
    </row>
    <row r="951">
      <c r="A951" s="170"/>
      <c r="J951" s="58"/>
      <c r="K951" s="172"/>
    </row>
    <row r="952">
      <c r="A952" s="170"/>
      <c r="J952" s="58"/>
      <c r="K952" s="172"/>
    </row>
    <row r="953">
      <c r="A953" s="170"/>
      <c r="J953" s="58"/>
      <c r="K953" s="172"/>
    </row>
    <row r="954">
      <c r="A954" s="170"/>
      <c r="J954" s="58"/>
      <c r="K954" s="172"/>
    </row>
    <row r="955">
      <c r="A955" s="170"/>
      <c r="J955" s="58"/>
      <c r="K955" s="172"/>
    </row>
    <row r="956">
      <c r="A956" s="170"/>
      <c r="J956" s="58"/>
      <c r="K956" s="172"/>
    </row>
    <row r="957">
      <c r="A957" s="170"/>
      <c r="J957" s="58"/>
      <c r="K957" s="172"/>
    </row>
    <row r="958">
      <c r="A958" s="170"/>
      <c r="J958" s="58"/>
      <c r="K958" s="172"/>
    </row>
    <row r="959">
      <c r="A959" s="170"/>
      <c r="J959" s="58"/>
      <c r="K959" s="172"/>
    </row>
    <row r="960">
      <c r="A960" s="170"/>
      <c r="J960" s="58"/>
      <c r="K960" s="172"/>
    </row>
    <row r="961">
      <c r="A961" s="170"/>
      <c r="J961" s="58"/>
      <c r="K961" s="172"/>
    </row>
    <row r="962">
      <c r="A962" s="170"/>
      <c r="J962" s="58"/>
      <c r="K962" s="172"/>
    </row>
    <row r="963">
      <c r="A963" s="170"/>
      <c r="J963" s="58"/>
      <c r="K963" s="172"/>
    </row>
    <row r="964">
      <c r="A964" s="170"/>
      <c r="J964" s="58"/>
      <c r="K964" s="172"/>
    </row>
    <row r="965">
      <c r="A965" s="170"/>
      <c r="J965" s="58"/>
      <c r="K965" s="172"/>
    </row>
    <row r="966">
      <c r="A966" s="170"/>
      <c r="J966" s="58"/>
      <c r="K966" s="172"/>
    </row>
    <row r="967">
      <c r="A967" s="170"/>
      <c r="J967" s="58"/>
      <c r="K967" s="172"/>
    </row>
    <row r="968">
      <c r="A968" s="170"/>
      <c r="J968" s="58"/>
      <c r="K968" s="172"/>
    </row>
    <row r="969">
      <c r="A969" s="170"/>
      <c r="J969" s="58"/>
      <c r="K969" s="172"/>
    </row>
    <row r="970">
      <c r="A970" s="170"/>
      <c r="J970" s="58"/>
      <c r="K970" s="172"/>
    </row>
    <row r="971">
      <c r="A971" s="170"/>
      <c r="J971" s="58"/>
      <c r="K971" s="172"/>
    </row>
    <row r="972">
      <c r="A972" s="170"/>
      <c r="J972" s="58"/>
      <c r="K972" s="172"/>
    </row>
    <row r="973">
      <c r="A973" s="170"/>
      <c r="J973" s="58"/>
      <c r="K973" s="172"/>
    </row>
    <row r="974">
      <c r="A974" s="170"/>
      <c r="J974" s="58"/>
      <c r="K974" s="172"/>
    </row>
    <row r="975">
      <c r="A975" s="170"/>
      <c r="J975" s="58"/>
      <c r="K975" s="172"/>
    </row>
    <row r="976">
      <c r="A976" s="170"/>
      <c r="J976" s="58"/>
      <c r="K976" s="172"/>
    </row>
    <row r="977">
      <c r="A977" s="170"/>
      <c r="J977" s="58"/>
      <c r="K977" s="172"/>
    </row>
    <row r="978">
      <c r="A978" s="170"/>
      <c r="J978" s="58"/>
      <c r="K978" s="172"/>
    </row>
    <row r="979">
      <c r="A979" s="170"/>
      <c r="J979" s="58"/>
      <c r="K979" s="172"/>
    </row>
    <row r="980">
      <c r="A980" s="170"/>
      <c r="J980" s="58"/>
      <c r="K980" s="172"/>
    </row>
    <row r="981">
      <c r="A981" s="170"/>
      <c r="J981" s="58"/>
      <c r="K981" s="172"/>
    </row>
    <row r="982">
      <c r="A982" s="170"/>
      <c r="J982" s="58"/>
      <c r="K982" s="172"/>
    </row>
    <row r="983">
      <c r="A983" s="170"/>
      <c r="J983" s="58"/>
      <c r="K983" s="172"/>
    </row>
    <row r="984">
      <c r="A984" s="170"/>
      <c r="J984" s="58"/>
      <c r="K984" s="172"/>
    </row>
    <row r="985">
      <c r="A985" s="170"/>
      <c r="J985" s="58"/>
      <c r="K985" s="172"/>
    </row>
    <row r="986">
      <c r="A986" s="170"/>
      <c r="J986" s="58"/>
      <c r="K986" s="172"/>
    </row>
    <row r="987">
      <c r="A987" s="170"/>
      <c r="J987" s="58"/>
      <c r="K987" s="172"/>
    </row>
    <row r="988">
      <c r="A988" s="170"/>
      <c r="J988" s="58"/>
      <c r="K988" s="172"/>
    </row>
    <row r="989">
      <c r="A989" s="170"/>
      <c r="J989" s="58"/>
      <c r="K989" s="172"/>
    </row>
    <row r="990">
      <c r="A990" s="170"/>
      <c r="J990" s="58"/>
      <c r="K990" s="172"/>
    </row>
    <row r="991">
      <c r="A991" s="170"/>
      <c r="J991" s="58"/>
      <c r="K991" s="172"/>
    </row>
    <row r="992">
      <c r="A992" s="170"/>
      <c r="J992" s="58"/>
      <c r="K992" s="172"/>
    </row>
    <row r="993">
      <c r="A993" s="170"/>
      <c r="J993" s="58"/>
      <c r="K993" s="172"/>
    </row>
    <row r="994">
      <c r="A994" s="170"/>
      <c r="J994" s="58"/>
      <c r="K994" s="172"/>
    </row>
    <row r="995">
      <c r="A995" s="170"/>
      <c r="J995" s="58"/>
      <c r="K995" s="172"/>
    </row>
    <row r="996">
      <c r="A996" s="170"/>
      <c r="J996" s="58"/>
      <c r="K996" s="172"/>
    </row>
    <row r="997">
      <c r="A997" s="170"/>
      <c r="J997" s="58"/>
      <c r="K997" s="172"/>
    </row>
    <row r="998">
      <c r="A998" s="170"/>
      <c r="J998" s="58"/>
      <c r="K998" s="172"/>
    </row>
    <row r="999">
      <c r="A999" s="170"/>
      <c r="J999" s="58"/>
      <c r="K999" s="172"/>
    </row>
    <row r="1000">
      <c r="A1000" s="170"/>
      <c r="J1000" s="58"/>
      <c r="K1000" s="172"/>
    </row>
  </sheetData>
  <mergeCells count="42">
    <mergeCell ref="A10:U12"/>
    <mergeCell ref="U14:U17"/>
    <mergeCell ref="A15:A17"/>
    <mergeCell ref="A18:A19"/>
    <mergeCell ref="U18:U19"/>
    <mergeCell ref="U21:U24"/>
    <mergeCell ref="A27:U27"/>
    <mergeCell ref="K21:K24"/>
    <mergeCell ref="N26:O26"/>
    <mergeCell ref="U29:U32"/>
    <mergeCell ref="U33:U34"/>
    <mergeCell ref="K36:K39"/>
    <mergeCell ref="N41:O41"/>
    <mergeCell ref="A42:U42"/>
    <mergeCell ref="N60:O60"/>
    <mergeCell ref="A61:AB61"/>
    <mergeCell ref="U36:U39"/>
    <mergeCell ref="U44:U47"/>
    <mergeCell ref="U48:U49"/>
    <mergeCell ref="K51:K54"/>
    <mergeCell ref="U51:U54"/>
    <mergeCell ref="N56:O56"/>
    <mergeCell ref="A57:AB57"/>
    <mergeCell ref="A63:A65"/>
    <mergeCell ref="A66:A68"/>
    <mergeCell ref="N70:O70"/>
    <mergeCell ref="N71:O71"/>
    <mergeCell ref="N72:O72"/>
    <mergeCell ref="A71:A73"/>
    <mergeCell ref="A75:A76"/>
    <mergeCell ref="C78:E79"/>
    <mergeCell ref="A82:A84"/>
    <mergeCell ref="A86:A87"/>
    <mergeCell ref="A89:A91"/>
    <mergeCell ref="A92:A94"/>
    <mergeCell ref="A21:A24"/>
    <mergeCell ref="A30:A32"/>
    <mergeCell ref="A33:A34"/>
    <mergeCell ref="A36:A39"/>
    <mergeCell ref="A45:A47"/>
    <mergeCell ref="A48:A49"/>
    <mergeCell ref="A51:A54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